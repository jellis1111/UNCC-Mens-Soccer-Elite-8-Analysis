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d.docs.live.net/e6136387b8c89f60/Desktop/NinerStats/MSOC Spring 2024/"/>
    </mc:Choice>
  </mc:AlternateContent>
  <xr:revisionPtr revIDLastSave="0" documentId="8_{EE4A09B7-73A5-48CD-8ABA-99FA4123300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ofiles" sheetId="1" r:id="rId1"/>
    <sheet name="Clemson" sheetId="2" r:id="rId2"/>
    <sheet name="Oregon State" sheetId="3" r:id="rId3"/>
    <sheet name="WVU" sheetId="4" r:id="rId4"/>
    <sheet name="Notre Dame" sheetId="5" r:id="rId5"/>
    <sheet name="Stanford" sheetId="6" r:id="rId6"/>
    <sheet name="UNC" sheetId="7" r:id="rId7"/>
    <sheet name="LMU" sheetId="8" r:id="rId8"/>
    <sheet name="Indiana" sheetId="9" r:id="rId9"/>
    <sheet name="UNCC" sheetId="10" r:id="rId10"/>
    <sheet name="Save %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yel4cGmdIGut68dUPSbVUb7AleAbpC/byy/3vVIhCtI="/>
    </ext>
  </extLst>
</workbook>
</file>

<file path=xl/calcChain.xml><?xml version="1.0" encoding="utf-8"?>
<calcChain xmlns="http://schemas.openxmlformats.org/spreadsheetml/2006/main">
  <c r="B30" i="11" l="1"/>
  <c r="A30" i="11"/>
  <c r="B33" i="11" s="1"/>
  <c r="W29" i="11"/>
  <c r="V29" i="11"/>
  <c r="W31" i="11" s="1"/>
  <c r="H29" i="11"/>
  <c r="G29" i="11"/>
  <c r="H31" i="11" s="1"/>
  <c r="Q27" i="11"/>
  <c r="P27" i="11"/>
  <c r="Q29" i="11" s="1"/>
  <c r="N27" i="11"/>
  <c r="K27" i="11"/>
  <c r="J27" i="11"/>
  <c r="K29" i="11" s="1"/>
  <c r="E27" i="11"/>
  <c r="D27" i="11"/>
  <c r="E29" i="11" s="1"/>
  <c r="B27" i="11"/>
  <c r="A27" i="11"/>
  <c r="B32" i="11" s="1"/>
  <c r="T25" i="11"/>
  <c r="S25" i="11"/>
  <c r="T27" i="11" s="1"/>
  <c r="N25" i="11"/>
  <c r="M25" i="11"/>
  <c r="Z23" i="11"/>
  <c r="Y23" i="11"/>
  <c r="Z25" i="11" s="1"/>
  <c r="C31" i="10"/>
  <c r="B28" i="9"/>
  <c r="C29" i="8"/>
  <c r="C8" i="8"/>
  <c r="B8" i="8"/>
  <c r="C27" i="7"/>
  <c r="E10" i="7"/>
  <c r="C28" i="6"/>
  <c r="C29" i="5"/>
  <c r="C29" i="3"/>
  <c r="C41" i="2"/>
  <c r="C40" i="2"/>
  <c r="C39" i="2"/>
  <c r="C38" i="2"/>
  <c r="C37" i="2"/>
  <c r="C36" i="2"/>
  <c r="D6" i="2"/>
  <c r="C50" i="1"/>
  <c r="D49" i="1"/>
  <c r="C49" i="1"/>
  <c r="D48" i="1"/>
  <c r="C48" i="1"/>
  <c r="D45" i="1"/>
  <c r="B45" i="1"/>
  <c r="C45" i="1" s="1"/>
  <c r="D44" i="1"/>
  <c r="B44" i="1"/>
  <c r="C44" i="1" s="1"/>
  <c r="D43" i="1"/>
  <c r="B43" i="1"/>
  <c r="C43" i="1" s="1"/>
  <c r="D42" i="1"/>
  <c r="B42" i="1"/>
  <c r="C42" i="1" s="1"/>
  <c r="D41" i="1"/>
  <c r="B41" i="1"/>
  <c r="C41" i="1" s="1"/>
  <c r="D40" i="1"/>
  <c r="C40" i="1" s="1"/>
  <c r="B40" i="1"/>
  <c r="D37" i="1"/>
  <c r="B37" i="1"/>
  <c r="C37" i="1" s="1"/>
  <c r="D36" i="1"/>
  <c r="B36" i="1"/>
  <c r="C36" i="1" s="1"/>
  <c r="D35" i="1"/>
  <c r="B35" i="1"/>
  <c r="C35" i="1" s="1"/>
  <c r="D34" i="1"/>
  <c r="B34" i="1"/>
  <c r="C34" i="1" s="1"/>
  <c r="D33" i="1"/>
  <c r="B33" i="1"/>
  <c r="C33" i="1" s="1"/>
  <c r="D32" i="1"/>
  <c r="B32" i="1"/>
  <c r="C32" i="1" s="1"/>
  <c r="D31" i="1"/>
  <c r="B31" i="1"/>
  <c r="C31" i="1" s="1"/>
  <c r="D28" i="1"/>
  <c r="C28" i="1" s="1"/>
  <c r="B28" i="1"/>
  <c r="D27" i="1"/>
  <c r="B27" i="1"/>
  <c r="C27" i="1" s="1"/>
  <c r="D26" i="1"/>
  <c r="B26" i="1"/>
  <c r="C26" i="1" s="1"/>
  <c r="D25" i="1"/>
  <c r="B25" i="1"/>
  <c r="C25" i="1" s="1"/>
  <c r="D24" i="1"/>
  <c r="B24" i="1"/>
  <c r="C24" i="1" s="1"/>
  <c r="B21" i="1"/>
  <c r="B20" i="1"/>
  <c r="B19" i="1"/>
  <c r="D16" i="1"/>
  <c r="B16" i="1"/>
  <c r="C16" i="1" s="1"/>
  <c r="D15" i="1"/>
  <c r="B15" i="1"/>
  <c r="C15" i="1" s="1"/>
  <c r="D14" i="1"/>
  <c r="B14" i="1"/>
  <c r="C14" i="1" s="1"/>
  <c r="D13" i="1"/>
  <c r="B13" i="1"/>
  <c r="C13" i="1" s="1"/>
  <c r="D12" i="1"/>
  <c r="B12" i="1"/>
  <c r="C12" i="1" s="1"/>
  <c r="D11" i="1"/>
  <c r="B11" i="1"/>
  <c r="C11" i="1" s="1"/>
  <c r="D10" i="1"/>
  <c r="B10" i="1"/>
  <c r="C10" i="1" s="1"/>
  <c r="D7" i="1"/>
  <c r="B7" i="1"/>
  <c r="C7" i="1" s="1"/>
  <c r="D6" i="1"/>
  <c r="B6" i="1"/>
  <c r="C6" i="1" s="1"/>
  <c r="D5" i="1"/>
  <c r="B5" i="1"/>
  <c r="C5" i="1" s="1"/>
</calcChain>
</file>

<file path=xl/sharedStrings.xml><?xml version="1.0" encoding="utf-8"?>
<sst xmlns="http://schemas.openxmlformats.org/spreadsheetml/2006/main" count="1423" uniqueCount="676">
  <si>
    <t>Comparative Analysis</t>
  </si>
  <si>
    <t>Elite Eight Profiles</t>
  </si>
  <si>
    <t>Charlotte Profiles</t>
  </si>
  <si>
    <t>Striker</t>
  </si>
  <si>
    <t>Difference</t>
  </si>
  <si>
    <t>Goals to xG</t>
  </si>
  <si>
    <t>Key Passes</t>
  </si>
  <si>
    <t>Opponent Half Recoveries</t>
  </si>
  <si>
    <t>Winger</t>
  </si>
  <si>
    <t>Successful Dribbles (Amnt)</t>
  </si>
  <si>
    <t>Successful Dribbles (%)</t>
  </si>
  <si>
    <t>Accurate Crosses (Amnt)</t>
  </si>
  <si>
    <t>Crosses (Amnt)</t>
  </si>
  <si>
    <t>Accurate Crosses (%)</t>
  </si>
  <si>
    <t>Crosses (%)</t>
  </si>
  <si>
    <t>Goals</t>
  </si>
  <si>
    <t>Attacking Mids</t>
  </si>
  <si>
    <t>-</t>
  </si>
  <si>
    <t>Center/Def Mids</t>
  </si>
  <si>
    <t>Accurate Passes (Amnt)</t>
  </si>
  <si>
    <t>Passes (Amnt)</t>
  </si>
  <si>
    <t>Accurate Passes (%)</t>
  </si>
  <si>
    <t>Passes (%)</t>
  </si>
  <si>
    <t>Loose Ball Duels Won</t>
  </si>
  <si>
    <t>Progressive Passes (Amnt)</t>
  </si>
  <si>
    <t>Progressive Passes (%)</t>
  </si>
  <si>
    <t>Center Backs</t>
  </si>
  <si>
    <t>Def Duels (Amnt)</t>
  </si>
  <si>
    <t>Def Duels (%)</t>
  </si>
  <si>
    <t>Interceptions</t>
  </si>
  <si>
    <t>Clearances</t>
  </si>
  <si>
    <t>Blocked Shots</t>
  </si>
  <si>
    <t>Full Backs</t>
  </si>
  <si>
    <t>Goalies</t>
  </si>
  <si>
    <t>xG to Goals Conceded</t>
  </si>
  <si>
    <t>Goals Against Average</t>
  </si>
  <si>
    <t>Save Percentage</t>
  </si>
  <si>
    <t>Player</t>
  </si>
  <si>
    <t xml:space="preserve">Position </t>
  </si>
  <si>
    <t xml:space="preserve">Position Category </t>
  </si>
  <si>
    <t>Average Minutes Played</t>
  </si>
  <si>
    <t>Position Metrics</t>
  </si>
  <si>
    <t>Goals to XG</t>
  </si>
  <si>
    <t>goals</t>
  </si>
  <si>
    <t>xg</t>
  </si>
  <si>
    <t>Opp Half Recoveries</t>
  </si>
  <si>
    <t>O. Sylla</t>
  </si>
  <si>
    <t>CF</t>
  </si>
  <si>
    <t>90'</t>
  </si>
  <si>
    <t>12/8.1</t>
  </si>
  <si>
    <t>T. Trimnal</t>
  </si>
  <si>
    <t>53'</t>
  </si>
  <si>
    <t>5/4.44</t>
  </si>
  <si>
    <t>M. Seye</t>
  </si>
  <si>
    <t>42'</t>
  </si>
  <si>
    <t>5/4.83</t>
  </si>
  <si>
    <t>Successful Dribbles (Amount and Successful %)</t>
  </si>
  <si>
    <t>amnt</t>
  </si>
  <si>
    <t>%</t>
  </si>
  <si>
    <t>Crosses (Amount and Accurate %)</t>
  </si>
  <si>
    <t>Key Passes/Goals</t>
  </si>
  <si>
    <t>N. Richmond</t>
  </si>
  <si>
    <t>RWF</t>
  </si>
  <si>
    <t>Wingers</t>
  </si>
  <si>
    <t>61'</t>
  </si>
  <si>
    <t>39/72 (54%)</t>
  </si>
  <si>
    <t>18/42 (43%)</t>
  </si>
  <si>
    <t>17 / 5 Goals</t>
  </si>
  <si>
    <t>A. Meinhard</t>
  </si>
  <si>
    <t>LWF</t>
  </si>
  <si>
    <t>91'</t>
  </si>
  <si>
    <t>39/75 (52%)</t>
  </si>
  <si>
    <t>9/28 (32%)</t>
  </si>
  <si>
    <t>11 / 8 Goals</t>
  </si>
  <si>
    <t>A. Duquenne</t>
  </si>
  <si>
    <t>86'</t>
  </si>
  <si>
    <t>41/57 (72%)</t>
  </si>
  <si>
    <t>29/88 (33%)</t>
  </si>
  <si>
    <t>15 / 2 Goals</t>
  </si>
  <si>
    <t>S. Smart</t>
  </si>
  <si>
    <t>88'</t>
  </si>
  <si>
    <t>71/112 (63%)</t>
  </si>
  <si>
    <t>14/67 (21%)</t>
  </si>
  <si>
    <t>3 / 2 Goals</t>
  </si>
  <si>
    <t>R. Okunlola</t>
  </si>
  <si>
    <t>44'</t>
  </si>
  <si>
    <t>19/37 (51%)</t>
  </si>
  <si>
    <t>13/39 (33%)</t>
  </si>
  <si>
    <t>8 / 2 Goals</t>
  </si>
  <si>
    <t>E. Montana</t>
  </si>
  <si>
    <t>35'</t>
  </si>
  <si>
    <t>8/12 (67%)</t>
  </si>
  <si>
    <t>12/25 (48%)</t>
  </si>
  <si>
    <t>6 / 0 Goals</t>
  </si>
  <si>
    <t>Total Passes and Accuracy %</t>
  </si>
  <si>
    <t>Defensive Duels Won %</t>
  </si>
  <si>
    <t>Interceptions/Clearances</t>
  </si>
  <si>
    <t>ints</t>
  </si>
  <si>
    <t>clears</t>
  </si>
  <si>
    <t>P. Mar Boye</t>
  </si>
  <si>
    <t>CB</t>
  </si>
  <si>
    <t>Center Back</t>
  </si>
  <si>
    <t>105'</t>
  </si>
  <si>
    <t>781/909 (86%)</t>
  </si>
  <si>
    <t>115/163 (71%)</t>
  </si>
  <si>
    <t>119/49</t>
  </si>
  <si>
    <t>A. Lundegard</t>
  </si>
  <si>
    <t>LCB</t>
  </si>
  <si>
    <t>99'</t>
  </si>
  <si>
    <t>879/1101 (80%)</t>
  </si>
  <si>
    <t>104/170 (61%)</t>
  </si>
  <si>
    <t>121/41</t>
  </si>
  <si>
    <t>G. Gibert</t>
  </si>
  <si>
    <t>RCB</t>
  </si>
  <si>
    <t>104'</t>
  </si>
  <si>
    <t>982/1101 (90%)</t>
  </si>
  <si>
    <t>138/199 (69%)</t>
  </si>
  <si>
    <t>114/48</t>
  </si>
  <si>
    <t>XG to Goals Conceded</t>
  </si>
  <si>
    <t>conceded</t>
  </si>
  <si>
    <t>Save Percentage %</t>
  </si>
  <si>
    <t>J. Andema</t>
  </si>
  <si>
    <t>GK</t>
  </si>
  <si>
    <t>Goalkeeper</t>
  </si>
  <si>
    <t>22.97/19</t>
  </si>
  <si>
    <t>Passes Amount &amp; Accuracy %</t>
  </si>
  <si>
    <t>Loose Balls Duels Won</t>
  </si>
  <si>
    <t>Progressive Passes/ Accuracy %</t>
  </si>
  <si>
    <t>pps</t>
  </si>
  <si>
    <t>J. Gerbet</t>
  </si>
  <si>
    <t>CMF</t>
  </si>
  <si>
    <t>Center Mid</t>
  </si>
  <si>
    <t>101'</t>
  </si>
  <si>
    <t>982/1078 (91%)</t>
  </si>
  <si>
    <t>25/59 (42%)</t>
  </si>
  <si>
    <t>130/145 (90%)</t>
  </si>
  <si>
    <t>B. Parrish</t>
  </si>
  <si>
    <t>RCMF</t>
  </si>
  <si>
    <t>92'</t>
  </si>
  <si>
    <t>539/703 (77%)</t>
  </si>
  <si>
    <t>14/49 (29%)</t>
  </si>
  <si>
    <t>99/133 (74%)</t>
  </si>
  <si>
    <t>Crosses / Accuracy %</t>
  </si>
  <si>
    <t>crosses</t>
  </si>
  <si>
    <t>Success Dribbles / Success %</t>
  </si>
  <si>
    <t>dribbles</t>
  </si>
  <si>
    <t>LWB</t>
  </si>
  <si>
    <t>Fullbacks</t>
  </si>
  <si>
    <t>520/722 (72%)</t>
  </si>
  <si>
    <t>98/161 (61%)</t>
  </si>
  <si>
    <t>60/16</t>
  </si>
  <si>
    <t>29/79 (37%)</t>
  </si>
  <si>
    <t>RWB</t>
  </si>
  <si>
    <t>695/921 (75%)</t>
  </si>
  <si>
    <t>138/223 (62%)</t>
  </si>
  <si>
    <t>92/30</t>
  </si>
  <si>
    <t>179/260 (69%)</t>
  </si>
  <si>
    <t>35/54 (65%)</t>
  </si>
  <si>
    <t>38/19</t>
  </si>
  <si>
    <t>13/39 (39%)</t>
  </si>
  <si>
    <t>167/230 (73%)</t>
  </si>
  <si>
    <t>15/22 (68%)</t>
  </si>
  <si>
    <t>18/6</t>
  </si>
  <si>
    <t>8/15 (53%)</t>
  </si>
  <si>
    <t>stkr</t>
  </si>
  <si>
    <t>winger</t>
  </si>
  <si>
    <t>am</t>
  </si>
  <si>
    <t>cm/cdm</t>
  </si>
  <si>
    <t>fb</t>
  </si>
  <si>
    <t>cb</t>
  </si>
  <si>
    <t>L. Farrington</t>
  </si>
  <si>
    <t>12/10.98</t>
  </si>
  <si>
    <t>kp</t>
  </si>
  <si>
    <t>Fran Cortijo</t>
  </si>
  <si>
    <t>LW</t>
  </si>
  <si>
    <t>65'</t>
  </si>
  <si>
    <t>4/8 (50%)</t>
  </si>
  <si>
    <t>12/40 (30%)</t>
  </si>
  <si>
    <t>5 / 3 Goals</t>
  </si>
  <si>
    <t>Vicho Castro</t>
  </si>
  <si>
    <t>41'</t>
  </si>
  <si>
    <t>24/40 (60%)</t>
  </si>
  <si>
    <t>4/16 (25%)</t>
  </si>
  <si>
    <t>2 / 3 Goals</t>
  </si>
  <si>
    <t>A. Farnos</t>
  </si>
  <si>
    <t>RW</t>
  </si>
  <si>
    <t>94'</t>
  </si>
  <si>
    <t>37/80 (46%)</t>
  </si>
  <si>
    <t>8/24 (33%)</t>
  </si>
  <si>
    <t>9 / 3 Goals</t>
  </si>
  <si>
    <t>E. Spikner</t>
  </si>
  <si>
    <t>RAMF</t>
  </si>
  <si>
    <t>37/67 (55%)</t>
  </si>
  <si>
    <t>8/27 (30%</t>
  </si>
  <si>
    <t>9 / 4 Goals</t>
  </si>
  <si>
    <t>J. Armas</t>
  </si>
  <si>
    <t>649/778 (83%)</t>
  </si>
  <si>
    <t>66/108 (61%)</t>
  </si>
  <si>
    <t>90/43</t>
  </si>
  <si>
    <t>T. Humphrey</t>
  </si>
  <si>
    <t>596/720 (83%)</t>
  </si>
  <si>
    <t>88/116 (76%)</t>
  </si>
  <si>
    <t>99/70</t>
  </si>
  <si>
    <t>J. Zapien</t>
  </si>
  <si>
    <t>49'</t>
  </si>
  <si>
    <t>221/248 (89%)</t>
  </si>
  <si>
    <t>32/47 (68%)</t>
  </si>
  <si>
    <t>39/8</t>
  </si>
  <si>
    <t>N. Lund</t>
  </si>
  <si>
    <t>81'</t>
  </si>
  <si>
    <t>427/488 (88%)</t>
  </si>
  <si>
    <t xml:space="preserve">27/41 (66%) </t>
  </si>
  <si>
    <t>38/39</t>
  </si>
  <si>
    <t>E. Newman</t>
  </si>
  <si>
    <t>RB</t>
  </si>
  <si>
    <t>74'</t>
  </si>
  <si>
    <t>184/251 (73%)</t>
  </si>
  <si>
    <t>46/73 (63%)</t>
  </si>
  <si>
    <t>36/26</t>
  </si>
  <si>
    <t>A. De Gannes</t>
  </si>
  <si>
    <t>LB</t>
  </si>
  <si>
    <t>64'</t>
  </si>
  <si>
    <t>540/657 (82%)</t>
  </si>
  <si>
    <t>66/114 (58%)</t>
  </si>
  <si>
    <t>77/33</t>
  </si>
  <si>
    <t>D. Williams</t>
  </si>
  <si>
    <t>83'</t>
  </si>
  <si>
    <t>371/508 (73%)</t>
  </si>
  <si>
    <t>92/174 (53%)</t>
  </si>
  <si>
    <t>68/19</t>
  </si>
  <si>
    <t>xg to goals con</t>
  </si>
  <si>
    <t>goals con</t>
  </si>
  <si>
    <t>L. Castillo</t>
  </si>
  <si>
    <t>29.35/24</t>
  </si>
  <si>
    <t>P. Belmonte</t>
  </si>
  <si>
    <t>LCMF</t>
  </si>
  <si>
    <t>93'</t>
  </si>
  <si>
    <t>537/611 (88%)</t>
  </si>
  <si>
    <t>14/18 (77%)</t>
  </si>
  <si>
    <t>45/65 (69%)</t>
  </si>
  <si>
    <t>T. Bedouret</t>
  </si>
  <si>
    <t>57'</t>
  </si>
  <si>
    <t xml:space="preserve">404/465 (87%) </t>
  </si>
  <si>
    <t xml:space="preserve">19/39 (49%) </t>
  </si>
  <si>
    <t xml:space="preserve">59/73 (81%) </t>
  </si>
  <si>
    <t>M. Caldeira</t>
  </si>
  <si>
    <t>87'</t>
  </si>
  <si>
    <t>12/9.06</t>
  </si>
  <si>
    <t>58/67 (87%)</t>
  </si>
  <si>
    <t>M. Broughton</t>
  </si>
  <si>
    <t>32'</t>
  </si>
  <si>
    <t>1228/1372 (90%)</t>
  </si>
  <si>
    <t>55/87 (63%)</t>
  </si>
  <si>
    <t>101/87</t>
  </si>
  <si>
    <t>F. Jorgensen</t>
  </si>
  <si>
    <t>Full Back</t>
  </si>
  <si>
    <t>54'</t>
  </si>
  <si>
    <t>945/1112 (85%)</t>
  </si>
  <si>
    <t>90/141 (64%)</t>
  </si>
  <si>
    <t>97/44</t>
  </si>
  <si>
    <t>C. Hernando</t>
  </si>
  <si>
    <t>79'</t>
  </si>
  <si>
    <t>1205/1344 (90%)</t>
  </si>
  <si>
    <t>82/120 (68%)</t>
  </si>
  <si>
    <t>133/79</t>
  </si>
  <si>
    <t>D. Huckaby</t>
  </si>
  <si>
    <t>415/536 (77%)</t>
  </si>
  <si>
    <t>55/94 (59%)</t>
  </si>
  <si>
    <t>45/13</t>
  </si>
  <si>
    <t>B. Borutskie</t>
  </si>
  <si>
    <t>465/503 (92%)</t>
  </si>
  <si>
    <t>27/43 (63%)</t>
  </si>
  <si>
    <t>27/14</t>
  </si>
  <si>
    <t>K. Lehnert</t>
  </si>
  <si>
    <t>334/402 (83%)</t>
  </si>
  <si>
    <t>49/75 (65%)</t>
  </si>
  <si>
    <t>44/21</t>
  </si>
  <si>
    <t>M. Trethewey</t>
  </si>
  <si>
    <t>97'</t>
  </si>
  <si>
    <t>203/236 (86%)</t>
  </si>
  <si>
    <t>26/40 (65%)</t>
  </si>
  <si>
    <t>15/10</t>
  </si>
  <si>
    <t>J. Lee</t>
  </si>
  <si>
    <t>23.37/23</t>
  </si>
  <si>
    <t>R. Baer</t>
  </si>
  <si>
    <t>RDMF</t>
  </si>
  <si>
    <t>38'</t>
  </si>
  <si>
    <t>884/1108 (80%)</t>
  </si>
  <si>
    <t>25/62 (40%)</t>
  </si>
  <si>
    <t>109/132 (83%)</t>
  </si>
  <si>
    <t>O. Ollikainen</t>
  </si>
  <si>
    <t>LDMF</t>
  </si>
  <si>
    <t>48'</t>
  </si>
  <si>
    <t>803/926 (87%)</t>
  </si>
  <si>
    <t>19/54 (35%)</t>
  </si>
  <si>
    <t>86/119 (72%)</t>
  </si>
  <si>
    <t>Y. Tsukada</t>
  </si>
  <si>
    <t>LAMF</t>
  </si>
  <si>
    <t>Attacking Mid</t>
  </si>
  <si>
    <t>70'</t>
  </si>
  <si>
    <t>505/675 (75%)</t>
  </si>
  <si>
    <t>11/39 (28%)</t>
  </si>
  <si>
    <t>103/121 (85%)</t>
  </si>
  <si>
    <t>61/103 (59%)</t>
  </si>
  <si>
    <t>L. Mccormick</t>
  </si>
  <si>
    <t>AMF</t>
  </si>
  <si>
    <t>502/663 (76%)</t>
  </si>
  <si>
    <t>18/47 (38%)</t>
  </si>
  <si>
    <t>73/79 (92%)</t>
  </si>
  <si>
    <t>44/73 (60%)</t>
  </si>
  <si>
    <t>S. Ors</t>
  </si>
  <si>
    <t>518/618 (84%)</t>
  </si>
  <si>
    <t>18/51 (35%)</t>
  </si>
  <si>
    <t>38/54 (70%)</t>
  </si>
  <si>
    <t>58/104 (56%)</t>
  </si>
  <si>
    <t>K. Christou</t>
  </si>
  <si>
    <t>96'</t>
  </si>
  <si>
    <t xml:space="preserve">338/509 (66%) </t>
  </si>
  <si>
    <t>21/41 (51%)</t>
  </si>
  <si>
    <t>40/52 (77%)</t>
  </si>
  <si>
    <t>39/68 (57%)</t>
  </si>
  <si>
    <t>M. Roou</t>
  </si>
  <si>
    <t>10/6.95</t>
  </si>
  <si>
    <t>N. Spicer</t>
  </si>
  <si>
    <t>1/1.73</t>
  </si>
  <si>
    <t>E. Nto</t>
  </si>
  <si>
    <t>51'</t>
  </si>
  <si>
    <t>11/8.64</t>
  </si>
  <si>
    <t>S. Green</t>
  </si>
  <si>
    <t>18/37 (49%)</t>
  </si>
  <si>
    <t>7/15 (47%)</t>
  </si>
  <si>
    <t>2 (0 goals)</t>
  </si>
  <si>
    <t>K. Baffour</t>
  </si>
  <si>
    <t>71'</t>
  </si>
  <si>
    <t>46/113 (41%)</t>
  </si>
  <si>
    <t>6/31 (19%)</t>
  </si>
  <si>
    <t>13 (2 goals)</t>
  </si>
  <si>
    <t>D. Russo</t>
  </si>
  <si>
    <t>77/141 (55%)</t>
  </si>
  <si>
    <t>8/33 (24%)</t>
  </si>
  <si>
    <t>10 (4 goals)</t>
  </si>
  <si>
    <t>int</t>
  </si>
  <si>
    <t>clear</t>
  </si>
  <si>
    <t>J. Ramsey</t>
  </si>
  <si>
    <t>100'</t>
  </si>
  <si>
    <t>775/947 (82%)</t>
  </si>
  <si>
    <t>92/136 (68%)</t>
  </si>
  <si>
    <t>95/88</t>
  </si>
  <si>
    <t>M. Ferguson</t>
  </si>
  <si>
    <t>707/852 (83%)</t>
  </si>
  <si>
    <t>44/58 (76%)</t>
  </si>
  <si>
    <t>82/55</t>
  </si>
  <si>
    <t>M. Williams</t>
  </si>
  <si>
    <t>300/355 (85%)</t>
  </si>
  <si>
    <t>33/48 (69%)</t>
  </si>
  <si>
    <t>60/40</t>
  </si>
  <si>
    <t>K. Genenbacher</t>
  </si>
  <si>
    <t>Fullback</t>
  </si>
  <si>
    <t>103'</t>
  </si>
  <si>
    <t>801/967 (83%)</t>
  </si>
  <si>
    <t>90/142 (63%)</t>
  </si>
  <si>
    <t>133/46</t>
  </si>
  <si>
    <t>P. Burns</t>
  </si>
  <si>
    <t>517/772 (67%)</t>
  </si>
  <si>
    <t>97/145 (67%)</t>
  </si>
  <si>
    <t>112/56</t>
  </si>
  <si>
    <t>B. Dowd</t>
  </si>
  <si>
    <t>24.68/15</t>
  </si>
  <si>
    <t>B. Boneau</t>
  </si>
  <si>
    <t>773/883 (88%)</t>
  </si>
  <si>
    <t>19/44 (43%)</t>
  </si>
  <si>
    <t>113/140 (81%)</t>
  </si>
  <si>
    <t>E. O'Brien</t>
  </si>
  <si>
    <t>80'</t>
  </si>
  <si>
    <t>512/597 (86%)</t>
  </si>
  <si>
    <t>17/39 (44%)</t>
  </si>
  <si>
    <t>44/68 (65%)</t>
  </si>
  <si>
    <t>W. Lewis</t>
  </si>
  <si>
    <t>52'</t>
  </si>
  <si>
    <t>405/487 (83%)</t>
  </si>
  <si>
    <t>23/47 (49%)</t>
  </si>
  <si>
    <t>45/64 (70%)</t>
  </si>
  <si>
    <t>Positon Category</t>
  </si>
  <si>
    <t>goal</t>
  </si>
  <si>
    <t>S. de Flores</t>
  </si>
  <si>
    <t>Attacker</t>
  </si>
  <si>
    <t>7/5.71</t>
  </si>
  <si>
    <t>31/42 (74%)</t>
  </si>
  <si>
    <t>J. Kiil</t>
  </si>
  <si>
    <t>7/4.01</t>
  </si>
  <si>
    <t>D. Jarvie</t>
  </si>
  <si>
    <t>30'</t>
  </si>
  <si>
    <t>2/1.37</t>
  </si>
  <si>
    <t>7/8 (88%)</t>
  </si>
  <si>
    <t>A. Tenconi-Gradillas</t>
  </si>
  <si>
    <t>29'</t>
  </si>
  <si>
    <t>1/1.42</t>
  </si>
  <si>
    <t>11/14 (79%)</t>
  </si>
  <si>
    <t>Z. Bohane</t>
  </si>
  <si>
    <t>33/51 (65%)</t>
  </si>
  <si>
    <t>89/152 (59%)</t>
  </si>
  <si>
    <t>F. Bank</t>
  </si>
  <si>
    <t>67/99 (68%)</t>
  </si>
  <si>
    <t>46/115 (40%)</t>
  </si>
  <si>
    <t>17/3</t>
  </si>
  <si>
    <t>67/105 (64%)</t>
  </si>
  <si>
    <t>N. Adnan</t>
  </si>
  <si>
    <t>535/658 (81%)</t>
  </si>
  <si>
    <t>101/152 (66%)</t>
  </si>
  <si>
    <t>99/72</t>
  </si>
  <si>
    <t>P. Bank</t>
  </si>
  <si>
    <t>538/730 (74%)</t>
  </si>
  <si>
    <t>101/148 (68%)</t>
  </si>
  <si>
    <t>91/41</t>
  </si>
  <si>
    <t>D. Hooper</t>
  </si>
  <si>
    <t>591/759 (78%)</t>
  </si>
  <si>
    <t>57/93 (61%)</t>
  </si>
  <si>
    <t>100/56</t>
  </si>
  <si>
    <t>R. Dunn</t>
  </si>
  <si>
    <t>82'</t>
  </si>
  <si>
    <t>340/452 (75%)</t>
  </si>
  <si>
    <t>77/118 (65%)</t>
  </si>
  <si>
    <t>85/54</t>
  </si>
  <si>
    <t>W. Cleary</t>
  </si>
  <si>
    <t>60'</t>
  </si>
  <si>
    <t>336/494 (68%)</t>
  </si>
  <si>
    <t>66/97 (68%)</t>
  </si>
  <si>
    <t>64/37</t>
  </si>
  <si>
    <t>R. Schnebly</t>
  </si>
  <si>
    <t>18.91/19</t>
  </si>
  <si>
    <t>M. Fisher</t>
  </si>
  <si>
    <t>Midfielder</t>
  </si>
  <si>
    <t>525/652 (81%)</t>
  </si>
  <si>
    <t>27/69 (39%)</t>
  </si>
  <si>
    <t>101/130 (78%)</t>
  </si>
  <si>
    <t>W. Reilly</t>
  </si>
  <si>
    <t>430/546 (79%)</t>
  </si>
  <si>
    <t>33/72 (46%)</t>
  </si>
  <si>
    <t>89/116 (77%)</t>
  </si>
  <si>
    <t>L. Purchase</t>
  </si>
  <si>
    <t>141/209 (67%)</t>
  </si>
  <si>
    <t>12/31 (39%)</t>
  </si>
  <si>
    <t>17/35 (49%)</t>
  </si>
  <si>
    <t>M. Vician</t>
  </si>
  <si>
    <t>10/9.13</t>
  </si>
  <si>
    <t>32/53 (60%)</t>
  </si>
  <si>
    <t>Q. Huerman</t>
  </si>
  <si>
    <t>57/107 (53%)</t>
  </si>
  <si>
    <t>11/34 (32%)</t>
  </si>
  <si>
    <t xml:space="preserve">19 / 10 Goals </t>
  </si>
  <si>
    <t>A. Al-Qaq</t>
  </si>
  <si>
    <t>59'</t>
  </si>
  <si>
    <t>75/145 (52%)</t>
  </si>
  <si>
    <t>11/56 (20%)</t>
  </si>
  <si>
    <t>10 / 4 Goals</t>
  </si>
  <si>
    <t>E. Bawa</t>
  </si>
  <si>
    <t>34'</t>
  </si>
  <si>
    <t>35/61 (57%)</t>
  </si>
  <si>
    <t>1/6 (17%)</t>
  </si>
  <si>
    <t>4 / 4 Goals</t>
  </si>
  <si>
    <t>D. Bercedo</t>
  </si>
  <si>
    <t>50'</t>
  </si>
  <si>
    <t>25/56 (45%)</t>
  </si>
  <si>
    <t>1/16 (6%)</t>
  </si>
  <si>
    <t>9 / 1 Goals</t>
  </si>
  <si>
    <t>T. Zinnhardt</t>
  </si>
  <si>
    <t>107'</t>
  </si>
  <si>
    <t>836/983 (85%)</t>
  </si>
  <si>
    <t>110/150 (73%)</t>
  </si>
  <si>
    <t>124/64</t>
  </si>
  <si>
    <t>R. Thomas</t>
  </si>
  <si>
    <t>715/919 (78%)</t>
  </si>
  <si>
    <t>92/140 (66%)</t>
  </si>
  <si>
    <t>102/60</t>
  </si>
  <si>
    <t>C. Harper</t>
  </si>
  <si>
    <t>832/939 (89%)</t>
  </si>
  <si>
    <t>78/100 (78%)</t>
  </si>
  <si>
    <t>106/71</t>
  </si>
  <si>
    <t>M. Edwards</t>
  </si>
  <si>
    <t>753/879 (86%)</t>
  </si>
  <si>
    <t>72/119 (61%)</t>
  </si>
  <si>
    <t>91/42</t>
  </si>
  <si>
    <t>V. Hole Vik</t>
  </si>
  <si>
    <t>227/272 (83%)</t>
  </si>
  <si>
    <t>35/58 (60%)</t>
  </si>
  <si>
    <t>27/13</t>
  </si>
  <si>
    <t>A. Cordes</t>
  </si>
  <si>
    <t>23.41/15</t>
  </si>
  <si>
    <t>A. Czech</t>
  </si>
  <si>
    <t>564/755 (75%)</t>
  </si>
  <si>
    <t>34/80 (43%)</t>
  </si>
  <si>
    <t>64/115 (56%)</t>
  </si>
  <si>
    <t>S. Williams</t>
  </si>
  <si>
    <t>DMF</t>
  </si>
  <si>
    <t>931/1054 (88%)</t>
  </si>
  <si>
    <t>42/89 (47%)</t>
  </si>
  <si>
    <t>97/123 (79%)</t>
  </si>
  <si>
    <t>P. O'Ferral</t>
  </si>
  <si>
    <t>513/690 (74%)</t>
  </si>
  <si>
    <t>22/44 (50%)</t>
  </si>
  <si>
    <t>92/121 (76%)</t>
  </si>
  <si>
    <t>J. Charles</t>
  </si>
  <si>
    <t>242/295 (82%)</t>
  </si>
  <si>
    <t>5/19 (26%)</t>
  </si>
  <si>
    <t>35/52 (67%)</t>
  </si>
  <si>
    <t>Position Category</t>
  </si>
  <si>
    <t>Strikers</t>
  </si>
  <si>
    <t>95'</t>
  </si>
  <si>
    <t>6/6.69</t>
  </si>
  <si>
    <t>78'</t>
  </si>
  <si>
    <t>6/5.74</t>
  </si>
  <si>
    <t>0/2.1</t>
  </si>
  <si>
    <t>0/.57</t>
  </si>
  <si>
    <t>98'</t>
  </si>
  <si>
    <t>462/541 (85%)</t>
  </si>
  <si>
    <t>50/73 (68%)</t>
  </si>
  <si>
    <t>74/65</t>
  </si>
  <si>
    <t>474/598 (79%)</t>
  </si>
  <si>
    <t>89/145 (61%)</t>
  </si>
  <si>
    <t>74/53</t>
  </si>
  <si>
    <t>661/805 (82%)</t>
  </si>
  <si>
    <t>95/135 (70%)</t>
  </si>
  <si>
    <t>107/50</t>
  </si>
  <si>
    <t>75'</t>
  </si>
  <si>
    <t>321/447 (72%)</t>
  </si>
  <si>
    <t>86/151 (57%)</t>
  </si>
  <si>
    <t>71/25</t>
  </si>
  <si>
    <t>25.29/21</t>
  </si>
  <si>
    <t>398/490 (81%)</t>
  </si>
  <si>
    <t>9/42 (21%)</t>
  </si>
  <si>
    <t>75/123 (61%)</t>
  </si>
  <si>
    <t>86/126 (68%)</t>
  </si>
  <si>
    <t>7/14 (50%)</t>
  </si>
  <si>
    <t>11/24 (46%)</t>
  </si>
  <si>
    <t>452/530 (85%)</t>
  </si>
  <si>
    <t>16/36 (44%)</t>
  </si>
  <si>
    <t>41/72 (57%)</t>
  </si>
  <si>
    <t>342/426 (80%)</t>
  </si>
  <si>
    <t>14/30 (47%)</t>
  </si>
  <si>
    <t>54/92 (59%)</t>
  </si>
  <si>
    <t>26/35 (74%)</t>
  </si>
  <si>
    <t>10/49 (20%)</t>
  </si>
  <si>
    <t>5/2 Goals</t>
  </si>
  <si>
    <t>73'</t>
  </si>
  <si>
    <t>23/40 (58%)</t>
  </si>
  <si>
    <t>12/34 (35%)</t>
  </si>
  <si>
    <t>4/ 0 Goals</t>
  </si>
  <si>
    <t>Position</t>
  </si>
  <si>
    <t>5/3.87</t>
  </si>
  <si>
    <t>43/88 (49%)</t>
  </si>
  <si>
    <t>8/6.77</t>
  </si>
  <si>
    <t>62/94 (66%)</t>
  </si>
  <si>
    <t>4/6.88</t>
  </si>
  <si>
    <t>32/49 (65%)</t>
  </si>
  <si>
    <t>11'</t>
  </si>
  <si>
    <t>0/1.02</t>
  </si>
  <si>
    <t>4/7 (57%)</t>
  </si>
  <si>
    <t>KP</t>
  </si>
  <si>
    <t>75/140 (54%)</t>
  </si>
  <si>
    <t>16/54 (30%)</t>
  </si>
  <si>
    <t>79/131 (60%)</t>
  </si>
  <si>
    <t>21/60 (35%)</t>
  </si>
  <si>
    <t>17/5</t>
  </si>
  <si>
    <t>82/139 (59%)</t>
  </si>
  <si>
    <t>17'</t>
  </si>
  <si>
    <t xml:space="preserve">7/19 (37%) </t>
  </si>
  <si>
    <t>1/0</t>
  </si>
  <si>
    <t>15/23(56%)</t>
  </si>
  <si>
    <t>Int</t>
  </si>
  <si>
    <t>Clear</t>
  </si>
  <si>
    <t>FB</t>
  </si>
  <si>
    <t>715/995 (72%)</t>
  </si>
  <si>
    <t>133/219 (61%)</t>
  </si>
  <si>
    <t>100/61</t>
  </si>
  <si>
    <t>956/1123 (85%)</t>
  </si>
  <si>
    <t>59/100 (59%)</t>
  </si>
  <si>
    <t>103/96</t>
  </si>
  <si>
    <t xml:space="preserve">614/758 (81%) </t>
  </si>
  <si>
    <t>96/139 (69%)</t>
  </si>
  <si>
    <t>109/69</t>
  </si>
  <si>
    <t>603/702 (86%)</t>
  </si>
  <si>
    <t>85/133 (64%)</t>
  </si>
  <si>
    <t>83/35</t>
  </si>
  <si>
    <t>19/18</t>
  </si>
  <si>
    <t>CM</t>
  </si>
  <si>
    <t>712/883 (81%)</t>
  </si>
  <si>
    <t>59/120 (49%)</t>
  </si>
  <si>
    <t>148/194 (76%)</t>
  </si>
  <si>
    <t>868/1091 (80%)</t>
  </si>
  <si>
    <t>31/63 (49%)</t>
  </si>
  <si>
    <t>133/176 (76%)</t>
  </si>
  <si>
    <t>360/440 (82%)</t>
  </si>
  <si>
    <t>16/38 (42%)</t>
  </si>
  <si>
    <t xml:space="preserve">53/68 (78%) </t>
  </si>
  <si>
    <t>B. Larsen</t>
  </si>
  <si>
    <t>4/5.35</t>
  </si>
  <si>
    <t>29/42 (69%)</t>
  </si>
  <si>
    <t>F. Jauk</t>
  </si>
  <si>
    <t>40'</t>
  </si>
  <si>
    <t>3/4.38</t>
  </si>
  <si>
    <t>11/17 (65%)</t>
  </si>
  <si>
    <t>Amnt</t>
  </si>
  <si>
    <t xml:space="preserve">amnt </t>
  </si>
  <si>
    <t>J. Nyandjo</t>
  </si>
  <si>
    <t>73/138 (53%)</t>
  </si>
  <si>
    <t>16/46 (35%)</t>
  </si>
  <si>
    <t>32 / 4 Goals</t>
  </si>
  <si>
    <t>B. Morales</t>
  </si>
  <si>
    <t>28/51 (55%)</t>
  </si>
  <si>
    <t>12/30 (40%)</t>
  </si>
  <si>
    <t>22 / 4 Goals</t>
  </si>
  <si>
    <t>B. Dildy</t>
  </si>
  <si>
    <t>39'</t>
  </si>
  <si>
    <t>10/23 (43%)</t>
  </si>
  <si>
    <t>10 / 1 Goals</t>
  </si>
  <si>
    <t>L. Frost</t>
  </si>
  <si>
    <t>37'</t>
  </si>
  <si>
    <t>8/22 (36%)</t>
  </si>
  <si>
    <t>1/12 (8%)</t>
  </si>
  <si>
    <t>5 / 0 Goals</t>
  </si>
  <si>
    <t>I. Pilcher</t>
  </si>
  <si>
    <t>652/803 (81%)</t>
  </si>
  <si>
    <t>74/116 (64%)</t>
  </si>
  <si>
    <t>101/52</t>
  </si>
  <si>
    <t>L. Laursen</t>
  </si>
  <si>
    <t>569/690 (82%)</t>
  </si>
  <si>
    <t>49/70 (70%)</t>
  </si>
  <si>
    <t>87/34</t>
  </si>
  <si>
    <t>D. Moore</t>
  </si>
  <si>
    <t>85'</t>
  </si>
  <si>
    <t>385/520 (74%)</t>
  </si>
  <si>
    <t>87/132 (66%)</t>
  </si>
  <si>
    <t>78/26</t>
  </si>
  <si>
    <t>A. Fofana</t>
  </si>
  <si>
    <t xml:space="preserve">Full Back </t>
  </si>
  <si>
    <t>287/370 (78%)</t>
  </si>
  <si>
    <t>48/71 (68%)</t>
  </si>
  <si>
    <t>61/31</t>
  </si>
  <si>
    <t>L. Stritter</t>
  </si>
  <si>
    <t>Goalkeepers</t>
  </si>
  <si>
    <t>16.4/15</t>
  </si>
  <si>
    <t>R. Tori</t>
  </si>
  <si>
    <t xml:space="preserve">Center Midfielder </t>
  </si>
  <si>
    <t>535/738 (72%)</t>
  </si>
  <si>
    <t>23/57 (40%)</t>
  </si>
  <si>
    <t>88/117 (75%)</t>
  </si>
  <si>
    <t>M. Kirk</t>
  </si>
  <si>
    <t>Center Midfielder</t>
  </si>
  <si>
    <t>76'</t>
  </si>
  <si>
    <t>525/686 (77%)</t>
  </si>
  <si>
    <t>23/43 (53%)</t>
  </si>
  <si>
    <t>70/101 (69%)</t>
  </si>
  <si>
    <t>S. Kolby</t>
  </si>
  <si>
    <t>242/320 (76%)</t>
  </si>
  <si>
    <t>9/31 (29%)</t>
  </si>
  <si>
    <t>39/51 (76%)</t>
  </si>
  <si>
    <t>L. Husakiwsky</t>
  </si>
  <si>
    <t>203/257 (79%)</t>
  </si>
  <si>
    <t>10/18 (56%)</t>
  </si>
  <si>
    <t xml:space="preserve">35/43 (81%) </t>
  </si>
  <si>
    <t xml:space="preserve">Clemson </t>
  </si>
  <si>
    <t xml:space="preserve">Oregon State </t>
  </si>
  <si>
    <t xml:space="preserve">WVU </t>
  </si>
  <si>
    <t xml:space="preserve">Notre Dame </t>
  </si>
  <si>
    <t>Stanford</t>
  </si>
  <si>
    <t>UNC</t>
  </si>
  <si>
    <t xml:space="preserve">LMU </t>
  </si>
  <si>
    <t>Indiana</t>
  </si>
  <si>
    <t>UNCC</t>
  </si>
  <si>
    <t>Saves</t>
  </si>
  <si>
    <t>Shots Against</t>
  </si>
  <si>
    <t xml:space="preserve">Shots Against </t>
  </si>
  <si>
    <t>Sum</t>
  </si>
  <si>
    <t>Average</t>
  </si>
  <si>
    <t xml:space="preserve">Average </t>
  </si>
  <si>
    <t xml:space="preserve">Sum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</si>
</sst>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m/d"/>
  </numFmts>
  <fonts count="9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name val="Calibri"/>
    </font>
    <font>
      <sz val="11"/>
      <color theme="1"/>
      <name val="Calibri"/>
      <scheme val="minor"/>
    </font>
    <font>
      <sz val="11"/>
      <color rgb="FF000000"/>
      <name val="Docs-Calibri"/>
    </font>
    <font>
      <sz val="11"/>
      <color rgb="FF000000"/>
      <name val="Calibri"/>
    </font>
    <font>
      <b/>
      <sz val="11"/>
      <color rgb="FF000000"/>
      <name val="Docs-Calibri"/>
    </font>
    <font>
      <b/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/>
    <xf numFmtId="0" fontId="1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2" fontId="2" fillId="0" borderId="0" xfId="0" applyNumberFormat="1" applyFont="1" applyAlignment="1">
      <alignment horizontal="center" vertical="center"/>
    </xf>
    <xf numFmtId="2" fontId="2" fillId="2" borderId="5" xfId="0" applyNumberFormat="1" applyFont="1" applyFill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4" fontId="2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right" vertical="center"/>
    </xf>
    <xf numFmtId="10" fontId="2" fillId="0" borderId="0" xfId="0" applyNumberFormat="1" applyFont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10" fontId="2" fillId="3" borderId="5" xfId="0" applyNumberFormat="1" applyFont="1" applyFill="1" applyBorder="1" applyAlignment="1">
      <alignment horizontal="center" vertical="center"/>
    </xf>
    <xf numFmtId="2" fontId="2" fillId="4" borderId="5" xfId="0" applyNumberFormat="1" applyFont="1" applyFill="1" applyBorder="1" applyAlignment="1">
      <alignment horizontal="center" vertical="center"/>
    </xf>
    <xf numFmtId="2" fontId="2" fillId="3" borderId="5" xfId="0" applyNumberFormat="1" applyFont="1" applyFill="1" applyBorder="1" applyAlignment="1">
      <alignment horizontal="center" vertical="center"/>
    </xf>
    <xf numFmtId="10" fontId="2" fillId="5" borderId="5" xfId="0" applyNumberFormat="1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9" fontId="2" fillId="0" borderId="0" xfId="0" applyNumberFormat="1" applyFont="1" applyAlignment="1">
      <alignment horizontal="center" vertical="center"/>
    </xf>
    <xf numFmtId="0" fontId="5" fillId="5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2" fillId="0" borderId="0" xfId="0" applyFont="1"/>
    <xf numFmtId="9" fontId="2" fillId="0" borderId="0" xfId="0" applyNumberFormat="1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9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0" fontId="4" fillId="7" borderId="0" xfId="0" applyFont="1" applyFill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  <xf numFmtId="0" fontId="2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abSelected="1" topLeftCell="A29" workbookViewId="0">
      <selection sqref="A1:E50"/>
    </sheetView>
  </sheetViews>
  <sheetFormatPr defaultColWidth="14.453125" defaultRowHeight="15" customHeight="1"/>
  <cols>
    <col min="1" max="1" width="23.26953125" customWidth="1"/>
    <col min="2" max="2" width="8.7265625" customWidth="1"/>
    <col min="3" max="3" width="10.08984375" customWidth="1"/>
    <col min="4" max="4" width="8.7265625" customWidth="1"/>
    <col min="5" max="5" width="23.7265625" customWidth="1"/>
  </cols>
  <sheetData>
    <row r="1" spans="1:5" ht="14.25" customHeight="1">
      <c r="A1" s="47" t="s">
        <v>0</v>
      </c>
      <c r="B1" s="46"/>
      <c r="C1" s="46"/>
      <c r="D1" s="46"/>
      <c r="E1" s="46"/>
    </row>
    <row r="2" spans="1:5" ht="14.25" customHeight="1">
      <c r="A2" s="2"/>
      <c r="B2" s="2"/>
      <c r="D2" s="2"/>
      <c r="E2" s="2"/>
    </row>
    <row r="3" spans="1:5" ht="14.25" customHeight="1">
      <c r="A3" s="43" t="s">
        <v>1</v>
      </c>
      <c r="B3" s="44"/>
      <c r="C3" s="3"/>
      <c r="D3" s="45" t="s">
        <v>2</v>
      </c>
      <c r="E3" s="46"/>
    </row>
    <row r="4" spans="1:5" ht="14.25" customHeight="1">
      <c r="A4" s="4" t="s">
        <v>3</v>
      </c>
      <c r="B4" s="5">
        <v>21</v>
      </c>
      <c r="C4" s="6" t="s">
        <v>4</v>
      </c>
      <c r="D4" s="7">
        <v>2</v>
      </c>
      <c r="E4" s="8" t="s">
        <v>3</v>
      </c>
    </row>
    <row r="5" spans="1:5" ht="14.25" customHeight="1">
      <c r="A5" s="9" t="s">
        <v>5</v>
      </c>
      <c r="B5" s="10">
        <f>SUM(Clemson!F3:F5,'Oregon State'!F3,WVU!F3,'Notre Dame'!F3:F5,Stanford!F3:F6,UNC!F3,LMU!E3:E6,Indiana!E3:E6)/SUM(Clemson!G3:G5,'Oregon State'!G3,WVU!G3,'Notre Dame'!G3:G5,Stanford!G3:G6,UNC!G3,LMU!F3:F6,Indiana!F3:F6)</f>
        <v>1.1271702572493412</v>
      </c>
      <c r="C5" s="11">
        <f t="shared" ref="C5:C7" si="0">D5-B5</f>
        <v>-0.76745802703351385</v>
      </c>
      <c r="D5" s="12">
        <f>(SUM(UNCC!F3:F4)/SUM(UNCC!G3:G4))/2</f>
        <v>0.35971223021582732</v>
      </c>
      <c r="E5" s="13" t="s">
        <v>5</v>
      </c>
    </row>
    <row r="6" spans="1:5" ht="14.25" customHeight="1">
      <c r="A6" s="9" t="s">
        <v>6</v>
      </c>
      <c r="B6" s="14">
        <f>SUM(Clemson!H3:H5,'Oregon State'!H3,WVU!H3,'Notre Dame'!H3:H5,Stanford!H3:H6,UNC!H3,LMU!G3:G6,Indiana!G3:G6)/21</f>
        <v>6.8571428571428568</v>
      </c>
      <c r="C6" s="11">
        <f t="shared" si="0"/>
        <v>-3.8571428571428568</v>
      </c>
      <c r="D6" s="15">
        <f>SUM(UNCC!H3:H4)/2</f>
        <v>3</v>
      </c>
      <c r="E6" s="13" t="s">
        <v>6</v>
      </c>
    </row>
    <row r="7" spans="1:5" ht="14.25" customHeight="1">
      <c r="A7" s="9" t="s">
        <v>7</v>
      </c>
      <c r="B7" s="10">
        <f>SUM(Clemson!K3:K5,'Oregon State'!K3,WVU!L3,'Notre Dame'!K3:K5,31,27,7,11,32,LMU!N3:N6,43,62,32,4)/21</f>
        <v>29.38095238095238</v>
      </c>
      <c r="C7" s="11">
        <f t="shared" si="0"/>
        <v>-9.3809523809523796</v>
      </c>
      <c r="D7" s="15">
        <f>SUM(29,11)/2</f>
        <v>20</v>
      </c>
      <c r="E7" s="13" t="s">
        <v>7</v>
      </c>
    </row>
    <row r="8" spans="1:5" ht="14.25" customHeight="1">
      <c r="A8" s="43" t="s">
        <v>1</v>
      </c>
      <c r="B8" s="44"/>
      <c r="C8" s="3"/>
      <c r="D8" s="45" t="s">
        <v>2</v>
      </c>
      <c r="E8" s="46"/>
    </row>
    <row r="9" spans="1:5" ht="14.25" customHeight="1">
      <c r="A9" s="16" t="s">
        <v>8</v>
      </c>
      <c r="B9" s="17">
        <v>24</v>
      </c>
      <c r="C9" s="18"/>
      <c r="D9" s="7">
        <v>4</v>
      </c>
      <c r="E9" s="19" t="s">
        <v>8</v>
      </c>
    </row>
    <row r="10" spans="1:5" ht="14.25" customHeight="1">
      <c r="A10" s="9" t="s">
        <v>7</v>
      </c>
      <c r="B10" s="10">
        <f>SUM(Clemson!N8:N9,'Oregon State'!N6:N9,'Notre Dame'!N8:N10,89,67,UNC!N6:N9,LMU!M24:M25,54,82,15)/24</f>
        <v>36.041666666666664</v>
      </c>
      <c r="C10" s="12">
        <f t="shared" ref="C10:C16" si="1">D10-B10</f>
        <v>-6.2916666666666643</v>
      </c>
      <c r="D10" s="15">
        <f>SUM(UNCC!N7:N10)/4</f>
        <v>29.75</v>
      </c>
      <c r="E10" s="13" t="s">
        <v>7</v>
      </c>
    </row>
    <row r="11" spans="1:5" ht="14.25" customHeight="1">
      <c r="A11" s="9" t="s">
        <v>9</v>
      </c>
      <c r="B11" s="10">
        <f>SUM(Clemson!F8:F9,Clemson!F11:F14,'Oregon State'!F6:F9,'Notre Dame'!F8:F10,Stanford!F9:F10,UNC!F6:F9,LMU!E24:E25,Indiana!E9:E11)/24</f>
        <v>40.375</v>
      </c>
      <c r="C11" s="11">
        <f t="shared" si="1"/>
        <v>-10.625</v>
      </c>
      <c r="D11" s="15">
        <f>SUM(UNCC!F7:F10)/4</f>
        <v>29.75</v>
      </c>
      <c r="E11" s="13" t="s">
        <v>9</v>
      </c>
    </row>
    <row r="12" spans="1:5" ht="14.25" customHeight="1">
      <c r="A12" s="9" t="s">
        <v>10</v>
      </c>
      <c r="B12" s="20">
        <f>SUM(Clemson!G8:G9,Clemson!G11:G14,'Oregon State'!G6:G9,'Notre Dame'!G8:G10,Stanford!G9:G10,UNC!G6:G9,LMU!F24:F25,Indiana!F9:F11)/24</f>
        <v>0.56166666666666665</v>
      </c>
      <c r="C12" s="21">
        <f t="shared" si="1"/>
        <v>-9.4166666666666621E-2</v>
      </c>
      <c r="D12" s="21">
        <f>SUM(UNCC!G7:G10)/4</f>
        <v>0.46750000000000003</v>
      </c>
      <c r="E12" s="13" t="s">
        <v>10</v>
      </c>
    </row>
    <row r="13" spans="1:5" ht="14.25" customHeight="1">
      <c r="A13" s="9" t="s">
        <v>11</v>
      </c>
      <c r="B13" s="10">
        <f>SUM(Clemson!I8:I9,Clemson!I11:I14,'Oregon State'!I6:I9,'Notre Dame'!I8:I10,Stanford!I9:I10,UNC!I6:I9,LMU!H24:H25,Indiana!H9:H11)/24</f>
        <v>12.208333333333334</v>
      </c>
      <c r="C13" s="12">
        <f t="shared" si="1"/>
        <v>-0.70833333333333393</v>
      </c>
      <c r="D13" s="15">
        <f>SUM(UNCC!I7:I10)/4</f>
        <v>11.5</v>
      </c>
      <c r="E13" s="13" t="s">
        <v>12</v>
      </c>
    </row>
    <row r="14" spans="1:5" ht="14.25" customHeight="1">
      <c r="A14" s="9" t="s">
        <v>13</v>
      </c>
      <c r="B14" s="20">
        <f>SUM(Clemson!J8:J9,Clemson!J11:J14,'Oregon State'!J6:J9,'Notre Dame'!J8:J10,Stanford!J9:J10,UNC!J6:J9,LMU!I24:I25,Indiana!I9:I11)/24</f>
        <v>0.29916666666666664</v>
      </c>
      <c r="C14" s="22">
        <f t="shared" si="1"/>
        <v>0.19833333333333336</v>
      </c>
      <c r="D14" s="21">
        <f>SUM(UNCC!J7:J10)/4</f>
        <v>0.4975</v>
      </c>
      <c r="E14" s="13" t="s">
        <v>14</v>
      </c>
    </row>
    <row r="15" spans="1:5" ht="14.25" customHeight="1">
      <c r="A15" s="9" t="s">
        <v>6</v>
      </c>
      <c r="B15" s="14">
        <f>SUM(Clemson!L8:L9,Clemson!L11:L14,'Oregon State'!L6:L9,2,13,10,Stanford!L9:L10,UNC!L6:L9,LMU!K24:K25,Indiana!K9:K11)/24</f>
        <v>8.6666666666666661</v>
      </c>
      <c r="C15" s="23">
        <f t="shared" si="1"/>
        <v>8.5833333333333339</v>
      </c>
      <c r="D15" s="15">
        <f>SUM(UNCC!L7:L10)/4</f>
        <v>17.25</v>
      </c>
      <c r="E15" s="13" t="s">
        <v>6</v>
      </c>
    </row>
    <row r="16" spans="1:5" ht="14.25" customHeight="1">
      <c r="A16" s="9" t="s">
        <v>15</v>
      </c>
      <c r="B16" s="10">
        <f>SUM(Clemson!M8:M9,Clemson!M11:M14,'Oregon State'!M6:M9,0,2,4,Stanford!M9:M10,UNC!M6:M9,LMU!L24:L25,Indiana!L9:L11)/24</f>
        <v>3.1666666666666665</v>
      </c>
      <c r="C16" s="12">
        <f t="shared" si="1"/>
        <v>-0.91666666666666652</v>
      </c>
      <c r="D16" s="15">
        <f>SUM(UNCC!M7:M10)/4</f>
        <v>2.25</v>
      </c>
      <c r="E16" s="13" t="s">
        <v>15</v>
      </c>
    </row>
    <row r="17" spans="1:5" ht="14.25" customHeight="1">
      <c r="A17" s="43" t="s">
        <v>1</v>
      </c>
      <c r="B17" s="44"/>
      <c r="C17" s="12"/>
      <c r="D17" s="15"/>
      <c r="E17" s="13"/>
    </row>
    <row r="18" spans="1:5" ht="14.25" customHeight="1">
      <c r="A18" s="16" t="s">
        <v>16</v>
      </c>
      <c r="B18" s="17">
        <v>4</v>
      </c>
      <c r="C18" s="18"/>
      <c r="D18" s="7">
        <v>0</v>
      </c>
      <c r="E18" s="19" t="s">
        <v>16</v>
      </c>
    </row>
    <row r="19" spans="1:5" ht="14.25" customHeight="1">
      <c r="A19" s="9" t="s">
        <v>15</v>
      </c>
      <c r="B19" s="2">
        <f>SUM(WVU!N20:N23)/4</f>
        <v>7</v>
      </c>
      <c r="C19" s="12"/>
      <c r="D19" s="15" t="s">
        <v>17</v>
      </c>
      <c r="E19" s="13" t="s">
        <v>15</v>
      </c>
    </row>
    <row r="20" spans="1:5" ht="14.25" customHeight="1">
      <c r="A20" s="9" t="s">
        <v>6</v>
      </c>
      <c r="B20" s="2">
        <f>SUM(WVU!O20:O23)/4</f>
        <v>12.25</v>
      </c>
      <c r="C20" s="12"/>
      <c r="D20" s="15" t="s">
        <v>17</v>
      </c>
      <c r="E20" s="13" t="s">
        <v>6</v>
      </c>
    </row>
    <row r="21" spans="1:5" ht="14.25" customHeight="1">
      <c r="A21" s="9" t="s">
        <v>7</v>
      </c>
      <c r="B21" s="2">
        <f>SUM(61,44,58,39)/4</f>
        <v>50.5</v>
      </c>
      <c r="C21" s="12"/>
      <c r="D21" s="15" t="s">
        <v>17</v>
      </c>
      <c r="E21" s="13" t="s">
        <v>7</v>
      </c>
    </row>
    <row r="22" spans="1:5" ht="14.25" customHeight="1">
      <c r="A22" s="43" t="s">
        <v>1</v>
      </c>
      <c r="B22" s="44"/>
      <c r="C22" s="3"/>
      <c r="D22" s="45" t="s">
        <v>2</v>
      </c>
      <c r="E22" s="46"/>
    </row>
    <row r="23" spans="1:5" ht="14.25" customHeight="1">
      <c r="A23" s="16" t="s">
        <v>18</v>
      </c>
      <c r="B23" s="17">
        <v>23</v>
      </c>
      <c r="C23" s="18"/>
      <c r="D23" s="7">
        <v>4</v>
      </c>
      <c r="E23" s="19" t="s">
        <v>18</v>
      </c>
    </row>
    <row r="24" spans="1:5" ht="14.25" customHeight="1">
      <c r="A24" s="9" t="s">
        <v>19</v>
      </c>
      <c r="B24" s="10">
        <f>SUM(Clemson!F25:F26,'Oregon State'!F25:F26,WVU!F18:F19,'Notre Dame'!F23:F25,Stanford!F23:F25,UNC!F21:F24,LMU!E18:E21,Indiana!E23:E25)/23</f>
        <v>539.26086956521738</v>
      </c>
      <c r="C24" s="12">
        <f t="shared" ref="C24:C28" si="2">D24-B24</f>
        <v>-163.01086956521738</v>
      </c>
      <c r="D24" s="15">
        <f>SUM(UNCC!F24:F27)/4</f>
        <v>376.25</v>
      </c>
      <c r="E24" s="13" t="s">
        <v>20</v>
      </c>
    </row>
    <row r="25" spans="1:5" ht="14.25" customHeight="1">
      <c r="A25" s="9" t="s">
        <v>21</v>
      </c>
      <c r="B25" s="20">
        <f>SUM(Clemson!G25:G26,'Oregon State'!G25:G26,WVU!G18:G19,'Notre Dame'!G23:G25,Stanford!G23:G25,UNC!G21:G24,LMU!F18:F21,Indiana!F23:F25)/23</f>
        <v>0.81304347826086953</v>
      </c>
      <c r="C25" s="21">
        <f t="shared" si="2"/>
        <v>-5.3043478260869525E-2</v>
      </c>
      <c r="D25" s="21">
        <f>SUM(UNCC!G24:G27)/4</f>
        <v>0.76</v>
      </c>
      <c r="E25" s="13" t="s">
        <v>22</v>
      </c>
    </row>
    <row r="26" spans="1:5" ht="14.25" customHeight="1">
      <c r="A26" s="9" t="s">
        <v>23</v>
      </c>
      <c r="B26" s="10">
        <f>SUM(Clemson!I25:I26,'Oregon State'!I25:I26,WVU!I18:I19,'Notre Dame'!I23:I25,Stanford!I23:I25,UNC!I21:I24,LMU!J18:J21,Indiana!H23:H25)/23</f>
        <v>21.826086956521738</v>
      </c>
      <c r="C26" s="11">
        <f t="shared" si="2"/>
        <v>-5.5760869565217384</v>
      </c>
      <c r="D26" s="15">
        <f>SUM(UNCC!I24:I27)/4</f>
        <v>16.25</v>
      </c>
      <c r="E26" s="13" t="s">
        <v>23</v>
      </c>
    </row>
    <row r="27" spans="1:5" ht="14.25" customHeight="1">
      <c r="A27" s="9" t="s">
        <v>24</v>
      </c>
      <c r="B27" s="10">
        <f>SUM(Clemson!L25:L26,'Oregon State'!L25:L26,WVU!L18:L19,'Notre Dame'!L23:L25,Stanford!L23:L25,UNC!L21:L24,LMU!J18:J21,Indiana!K23:K25)/23</f>
        <v>69.782608695652172</v>
      </c>
      <c r="C27" s="12">
        <f t="shared" si="2"/>
        <v>-11.782608695652172</v>
      </c>
      <c r="D27" s="15">
        <f>SUM(UNCC!L24:L27)/4</f>
        <v>58</v>
      </c>
      <c r="E27" s="13" t="s">
        <v>24</v>
      </c>
    </row>
    <row r="28" spans="1:5" ht="14.25" customHeight="1">
      <c r="A28" s="9" t="s">
        <v>25</v>
      </c>
      <c r="B28" s="20">
        <f>SUM(Clemson!M25:M26,'Oregon State'!M25:M26,WVU!M18:M19,'Notre Dame'!M23:M25,Stanford!M23:M25,UNC!M21:M24,LMU!M18:M21,Indiana!L23:L25)/23</f>
        <v>0.6778260869565218</v>
      </c>
      <c r="C28" s="22">
        <f t="shared" si="2"/>
        <v>7.4673913043478257E-2</v>
      </c>
      <c r="D28" s="21">
        <f>SUM(UNCC!M24:M27)/4</f>
        <v>0.75250000000000006</v>
      </c>
      <c r="E28" s="13" t="s">
        <v>25</v>
      </c>
    </row>
    <row r="29" spans="1:5" ht="14.25" customHeight="1">
      <c r="A29" s="43" t="s">
        <v>1</v>
      </c>
      <c r="B29" s="44"/>
      <c r="C29" s="3"/>
      <c r="D29" s="45" t="s">
        <v>2</v>
      </c>
      <c r="E29" s="46"/>
    </row>
    <row r="30" spans="1:5" ht="14.25" customHeight="1">
      <c r="A30" s="16" t="s">
        <v>26</v>
      </c>
      <c r="B30" s="17">
        <v>22</v>
      </c>
      <c r="C30" s="18"/>
      <c r="D30" s="7">
        <v>2</v>
      </c>
      <c r="E30" s="19" t="s">
        <v>26</v>
      </c>
    </row>
    <row r="31" spans="1:5" ht="14.25" customHeight="1">
      <c r="A31" s="9" t="s">
        <v>19</v>
      </c>
      <c r="B31" s="10">
        <f>SUM(Clemson!F17:F19,'Oregon State'!F12:F15,'Notre Dame'!F13:F15,Indiana!E15:E16,WVU!F6,WVU!F8,WVU!F10,Stanford!F13,Stanford!F15,UNC!F12,UNC!F14,LMU!E10:E11)/22</f>
        <v>668.81818181818187</v>
      </c>
      <c r="C31" s="12">
        <f t="shared" ref="C31:C37" si="3">D31-B31</f>
        <v>-58.31818181818187</v>
      </c>
      <c r="D31" s="15">
        <f>SUM(UNCC!F13:F14)/2</f>
        <v>610.5</v>
      </c>
      <c r="E31" s="13" t="s">
        <v>20</v>
      </c>
    </row>
    <row r="32" spans="1:5" ht="14.25" customHeight="1">
      <c r="A32" s="9" t="s">
        <v>21</v>
      </c>
      <c r="B32" s="20">
        <f>SUM(Clemson!G17:G19,'Oregon State'!G12:G15,WVU!G6,WVU!G8,WVU!G10,'Notre Dame'!G13:G15,Stanford!G13,Stanford!G15,UNC!G12,UNC!G14,LMU!F9:F11,Indiana!F15:F16)/22</f>
        <v>0.85409090909090901</v>
      </c>
      <c r="C32" s="21">
        <f t="shared" si="3"/>
        <v>-3.9090909090909065E-2</v>
      </c>
      <c r="D32" s="21">
        <f>SUM(UNCC!G13:G14)/2</f>
        <v>0.81499999999999995</v>
      </c>
      <c r="E32" s="13" t="s">
        <v>22</v>
      </c>
    </row>
    <row r="33" spans="1:5" ht="14.25" customHeight="1">
      <c r="A33" s="9" t="s">
        <v>27</v>
      </c>
      <c r="B33" s="10">
        <f>SUM(Clemson!I17:I19,'Oregon State'!I12:I15,WVU!I6,WVU!I8,WVU!I10,'Notre Dame'!I13:I15,Stanford!I13,Stanford!I15,UNC!I12,UNC!I14,LMU!J9:J11,Indiana!H15:H16)/22</f>
        <v>74.454545454545453</v>
      </c>
      <c r="C33" s="12">
        <f t="shared" si="3"/>
        <v>-12.954545454545453</v>
      </c>
      <c r="D33" s="15">
        <f>SUM(UNCC!I13:I14)/2</f>
        <v>61.5</v>
      </c>
      <c r="E33" s="13" t="s">
        <v>27</v>
      </c>
    </row>
    <row r="34" spans="1:5" ht="14.25" customHeight="1">
      <c r="A34" s="9" t="s">
        <v>28</v>
      </c>
      <c r="B34" s="20">
        <f>SUM(Clemson!J17:J19,'Oregon State'!J12:J15,WVU!J6,WVU!J8,WVU!J10,'Notre Dame'!J13:J15,Stanford!J13,Stanford!J15,UNC!J12,UNC!J14,LMU!M9:M11,Indiana!I15:I16)/22</f>
        <v>0.67454545454545434</v>
      </c>
      <c r="C34" s="22">
        <f t="shared" si="3"/>
        <v>-4.5454545454544082E-3</v>
      </c>
      <c r="D34" s="21">
        <f>SUM(UNCC!J13:J14)/2</f>
        <v>0.66999999999999993</v>
      </c>
      <c r="E34" s="13" t="s">
        <v>28</v>
      </c>
    </row>
    <row r="35" spans="1:5" ht="14.25" customHeight="1">
      <c r="A35" s="9" t="s">
        <v>29</v>
      </c>
      <c r="B35" s="10">
        <f>SUM(Clemson!L17:L19,'Oregon State'!L12:L15,WVU!L6,WVU!L8,WVU!L10,'Notre Dame'!L13:L15,Stanford!L13,Stanford!L15,UNC!L12,UNC!L14,LMU!O9:O11,Indiana!K15:K16)/22</f>
        <v>91.545454545454547</v>
      </c>
      <c r="C35" s="24">
        <f t="shared" si="3"/>
        <v>2.4545454545454533</v>
      </c>
      <c r="D35" s="15">
        <f>SUM(UNCC!L13:L14)/2</f>
        <v>94</v>
      </c>
      <c r="E35" s="13" t="s">
        <v>29</v>
      </c>
    </row>
    <row r="36" spans="1:5" ht="14.25" customHeight="1">
      <c r="A36" s="9" t="s">
        <v>30</v>
      </c>
      <c r="B36" s="10">
        <f>SUM(Clemson!M17:M19,'Oregon State'!M12:M15,WVU!M6,WVU!M8,WVU!M10,'Notre Dame'!M13:M15,Stanford!M13,Stanford!M15,UNC!M14,UNC!M12,LMU!P9:P11,Indiana!L15:L16)/22</f>
        <v>57.136363636363633</v>
      </c>
      <c r="C36" s="11">
        <f t="shared" si="3"/>
        <v>-14.136363636363633</v>
      </c>
      <c r="D36" s="15">
        <f>SUM(UNCC!M13:M14)/2</f>
        <v>43</v>
      </c>
      <c r="E36" s="13" t="s">
        <v>30</v>
      </c>
    </row>
    <row r="37" spans="1:5" ht="14.25" customHeight="1">
      <c r="A37" s="9" t="s">
        <v>31</v>
      </c>
      <c r="B37" s="10">
        <f>SUM(Clemson!N17:N19,'Oregon State'!N12:N15,WVU!N10,WVU!N8,WVU!N6,'Notre Dame'!N13:N15,Stanford!N13,Stanford!N15,UNC!N12,UNC!N14,LMU!Q9:Q11,Indiana!M15:M16)/22</f>
        <v>10.954545454545455</v>
      </c>
      <c r="C37" s="12">
        <f t="shared" si="3"/>
        <v>-2.454545454545455</v>
      </c>
      <c r="D37" s="15">
        <f>SUM(UNCC!N13:N14)/2</f>
        <v>8.5</v>
      </c>
      <c r="E37" s="13" t="s">
        <v>31</v>
      </c>
    </row>
    <row r="38" spans="1:5" ht="14.25" customHeight="1">
      <c r="A38" s="43" t="s">
        <v>1</v>
      </c>
      <c r="B38" s="44"/>
      <c r="C38" s="3"/>
      <c r="D38" s="45" t="s">
        <v>2</v>
      </c>
      <c r="E38" s="46"/>
    </row>
    <row r="39" spans="1:5" ht="14.25" customHeight="1">
      <c r="A39" s="16" t="s">
        <v>32</v>
      </c>
      <c r="B39" s="17">
        <v>22</v>
      </c>
      <c r="C39" s="18"/>
      <c r="D39" s="7">
        <v>2</v>
      </c>
      <c r="E39" s="19" t="s">
        <v>32</v>
      </c>
    </row>
    <row r="40" spans="1:5" ht="14.25" customHeight="1">
      <c r="A40" s="9" t="s">
        <v>19</v>
      </c>
      <c r="B40" s="2">
        <f>SUM(Clemson!F29:F32,'Oregon State'!F18:F20,WVU!F7,WVU!F9,WVU!F11:F12,'Notre Dame'!F17:F18,Stanford!I14,Stanford!I16:I17,UNC!F13,UNC!F15:F16,LMU!E12,Indiana!E14,Indiana!E17)/22</f>
        <v>429.5</v>
      </c>
      <c r="C40" s="11">
        <f t="shared" ref="C40:C45" si="4">D40-B40</f>
        <v>-93.5</v>
      </c>
      <c r="D40" s="15">
        <f>SUM(UNCC!F17:F18)/2</f>
        <v>336</v>
      </c>
      <c r="E40" s="13" t="s">
        <v>20</v>
      </c>
    </row>
    <row r="41" spans="1:5" ht="14.25" customHeight="1">
      <c r="A41" s="9" t="s">
        <v>21</v>
      </c>
      <c r="B41" s="20">
        <f>SUM(Clemson!G29:G32,'Oregon State'!G18:G20,WVU!J7,WVU!J9,WVU!J11:J12,'Notre Dame'!G17:G18,Stanford!G14,Stanford!G16:G17,UNC!G13,UNC!G15:G16,LMU!F12,Indiana!I14,Indiana!I17)/22</f>
        <v>0.71863636363636363</v>
      </c>
      <c r="C41" s="25">
        <f t="shared" si="4"/>
        <v>4.136363636363638E-2</v>
      </c>
      <c r="D41" s="21">
        <f>SUM(UNCC!G17:G18)/2</f>
        <v>0.76</v>
      </c>
      <c r="E41" s="13" t="s">
        <v>22</v>
      </c>
    </row>
    <row r="42" spans="1:5" ht="14.25" customHeight="1">
      <c r="A42" s="9" t="s">
        <v>27</v>
      </c>
      <c r="B42" s="10">
        <f>SUM(Clemson!I29:I32,'Oregon State'!I18:I20,WVU!I7,WVU!I9,WVU!I11:I12,'Notre Dame'!I17:I18,Stanford!I16:I17,Stanford!I14,UNC!I13,UNC!I15:I16,LMU!J12,Indiana!H14,Indiana!H17)/22</f>
        <v>74.727272727272734</v>
      </c>
      <c r="C42" s="12">
        <f t="shared" si="4"/>
        <v>-7.2272727272727337</v>
      </c>
      <c r="D42" s="15">
        <f>SUM(UNCC!I17:I18)/2</f>
        <v>67.5</v>
      </c>
      <c r="E42" s="13" t="s">
        <v>27</v>
      </c>
    </row>
    <row r="43" spans="1:5" ht="14.25" customHeight="1">
      <c r="A43" s="9" t="s">
        <v>28</v>
      </c>
      <c r="B43" s="20">
        <f>SUM(Clemson!J29:J32,'Oregon State'!J18:J20,WVU!J11:J12,WVU!J9,WVU!J7,'Notre Dame'!J17:J18,Stanford!J16:J17,Stanford!J14,UNC!J15:J16,UNC!J13,LMU!M12,Indiana!I17,Indiana!I14)/22</f>
        <v>0.62863636363636366</v>
      </c>
      <c r="C43" s="22">
        <f t="shared" si="4"/>
        <v>4.136363636363638E-2</v>
      </c>
      <c r="D43" s="21">
        <f>SUM(UNCC!J17:J18)/2</f>
        <v>0.67</v>
      </c>
      <c r="E43" s="13" t="s">
        <v>28</v>
      </c>
    </row>
    <row r="44" spans="1:5" ht="14.25" customHeight="1">
      <c r="A44" s="9" t="s">
        <v>29</v>
      </c>
      <c r="B44" s="10">
        <f>SUM(Clemson!L29:L32,'Oregon State'!L18:L20,WVU!L7,WVU!L9,WVU!L11:L12,'Notre Dame'!L17:L18,Stanford!L14,Stanford!L16:L17,UNC!L13,UNC!L15:L16,LMU!O12,Indiana!K14,Indiana!K17)/22</f>
        <v>70.409090909090907</v>
      </c>
      <c r="C44" s="12">
        <f t="shared" si="4"/>
        <v>-0.90909090909090651</v>
      </c>
      <c r="D44" s="15">
        <f>SUM(78,61)/2</f>
        <v>69.5</v>
      </c>
      <c r="E44" s="13" t="s">
        <v>29</v>
      </c>
    </row>
    <row r="45" spans="1:5" ht="14.25" customHeight="1">
      <c r="A45" s="9" t="s">
        <v>30</v>
      </c>
      <c r="B45" s="10">
        <f>SUM(Clemson!M29:M32,'Oregon State'!M18:M20,WVU!M7,WVU!M9,WVU!M11:M12,'Notre Dame'!M17:M18,Stanford!M16:M17,Stanford!M14,UNC!M13,UNC!M15:M16,LMU!P12,Indiana!L14,Indiana!L17)/22</f>
        <v>32.136363636363633</v>
      </c>
      <c r="C45" s="12">
        <f t="shared" si="4"/>
        <v>-3.6363636363636331</v>
      </c>
      <c r="D45" s="15">
        <f>SUM(26,31)/2</f>
        <v>28.5</v>
      </c>
      <c r="E45" s="13" t="s">
        <v>30</v>
      </c>
    </row>
    <row r="46" spans="1:5" ht="14.25" customHeight="1">
      <c r="A46" s="43" t="s">
        <v>1</v>
      </c>
      <c r="B46" s="44"/>
      <c r="C46" s="3"/>
      <c r="D46" s="45" t="s">
        <v>2</v>
      </c>
      <c r="E46" s="46"/>
    </row>
    <row r="47" spans="1:5" ht="14.25" customHeight="1">
      <c r="A47" s="16" t="s">
        <v>33</v>
      </c>
      <c r="B47" s="17">
        <v>8</v>
      </c>
      <c r="C47" s="18"/>
      <c r="D47" s="7">
        <v>1</v>
      </c>
      <c r="E47" s="19" t="s">
        <v>33</v>
      </c>
    </row>
    <row r="48" spans="1:5" ht="14.25" customHeight="1">
      <c r="A48" s="9" t="s">
        <v>34</v>
      </c>
      <c r="B48" s="2">
        <v>1.24</v>
      </c>
      <c r="C48" s="24">
        <f t="shared" ref="C48:C50" si="5">D48-B48</f>
        <v>-0.14666666666666672</v>
      </c>
      <c r="D48" s="12">
        <f>UNCC!F21/UNCC!G21</f>
        <v>1.0933333333333333</v>
      </c>
      <c r="E48" s="13" t="s">
        <v>34</v>
      </c>
    </row>
    <row r="49" spans="1:5" ht="14.25" customHeight="1">
      <c r="A49" s="9" t="s">
        <v>35</v>
      </c>
      <c r="B49" s="2">
        <v>0.95</v>
      </c>
      <c r="C49" s="24">
        <f t="shared" si="5"/>
        <v>-6.9999999999999951E-2</v>
      </c>
      <c r="D49" s="15">
        <f>UNCC!H21</f>
        <v>0.88</v>
      </c>
      <c r="E49" s="13" t="s">
        <v>35</v>
      </c>
    </row>
    <row r="50" spans="1:5" ht="14.25" customHeight="1">
      <c r="A50" s="9" t="s">
        <v>36</v>
      </c>
      <c r="B50" s="20">
        <v>0.76</v>
      </c>
      <c r="C50" s="22">
        <f t="shared" si="5"/>
        <v>-3.0000000000000027E-2</v>
      </c>
      <c r="D50" s="21">
        <v>0.73</v>
      </c>
      <c r="E50" s="13" t="s">
        <v>36</v>
      </c>
    </row>
  </sheetData>
  <mergeCells count="14">
    <mergeCell ref="A46:B46"/>
    <mergeCell ref="D46:E46"/>
    <mergeCell ref="A1:E1"/>
    <mergeCell ref="A3:B3"/>
    <mergeCell ref="D3:E3"/>
    <mergeCell ref="A8:B8"/>
    <mergeCell ref="D8:E8"/>
    <mergeCell ref="D22:E22"/>
    <mergeCell ref="A17:B17"/>
    <mergeCell ref="A22:B22"/>
    <mergeCell ref="A38:B38"/>
    <mergeCell ref="D38:E38"/>
    <mergeCell ref="A29:B29"/>
    <mergeCell ref="D29:E29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6"/>
  <sheetViews>
    <sheetView workbookViewId="0"/>
  </sheetViews>
  <sheetFormatPr defaultColWidth="14.453125" defaultRowHeight="15" customHeight="1"/>
  <cols>
    <col min="1" max="1" width="17.26953125" customWidth="1"/>
    <col min="2" max="2" width="16.26953125" customWidth="1"/>
    <col min="3" max="3" width="16.81640625" customWidth="1"/>
    <col min="4" max="4" width="28.26953125" customWidth="1"/>
    <col min="5" max="5" width="40.81640625" customWidth="1"/>
    <col min="6" max="6" width="5.54296875" customWidth="1"/>
    <col min="7" max="7" width="9.453125" customWidth="1"/>
    <col min="8" max="8" width="29.7265625" customWidth="1"/>
    <col min="9" max="9" width="9.26953125" customWidth="1"/>
    <col min="10" max="10" width="9.81640625" customWidth="1"/>
    <col min="11" max="11" width="27.7265625" customWidth="1"/>
    <col min="12" max="12" width="10.08984375" customWidth="1"/>
    <col min="13" max="13" width="5.81640625" customWidth="1"/>
    <col min="14" max="14" width="18.81640625" customWidth="1"/>
    <col min="15" max="15" width="7.26953125" customWidth="1"/>
    <col min="16" max="16" width="4.81640625" customWidth="1"/>
    <col min="17" max="17" width="25.453125" customWidth="1"/>
    <col min="18" max="32" width="8.7265625" customWidth="1"/>
  </cols>
  <sheetData>
    <row r="1" spans="1:32" ht="14.25" customHeight="1">
      <c r="A1" s="26" t="s">
        <v>37</v>
      </c>
      <c r="B1" s="26" t="s">
        <v>38</v>
      </c>
      <c r="C1" s="26" t="s">
        <v>39</v>
      </c>
      <c r="D1" s="26" t="s">
        <v>40</v>
      </c>
      <c r="E1" s="48" t="s">
        <v>41</v>
      </c>
      <c r="F1" s="46"/>
      <c r="G1" s="46"/>
      <c r="H1" s="46"/>
      <c r="I1" s="46"/>
      <c r="J1" s="46"/>
      <c r="K1" s="46"/>
      <c r="L1" s="26"/>
      <c r="M1" s="26"/>
      <c r="N1" s="45"/>
      <c r="O1" s="46"/>
      <c r="P1" s="46"/>
      <c r="Q1" s="46"/>
      <c r="R1" s="46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ht="14.25" customHeight="1">
      <c r="A2" s="2"/>
      <c r="B2" s="2"/>
      <c r="C2" s="2"/>
      <c r="D2" s="2"/>
      <c r="E2" s="2" t="s">
        <v>42</v>
      </c>
      <c r="F2" s="2" t="s">
        <v>43</v>
      </c>
      <c r="G2" s="2" t="s">
        <v>44</v>
      </c>
      <c r="H2" s="2" t="s">
        <v>6</v>
      </c>
      <c r="I2" s="2"/>
      <c r="J2" s="2"/>
      <c r="K2" s="2" t="s">
        <v>45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ht="14.25" customHeight="1">
      <c r="A3" s="2" t="s">
        <v>46</v>
      </c>
      <c r="B3" s="2" t="s">
        <v>47</v>
      </c>
      <c r="C3" s="2" t="s">
        <v>3</v>
      </c>
      <c r="D3" s="2" t="s">
        <v>48</v>
      </c>
      <c r="E3" s="2" t="s">
        <v>49</v>
      </c>
      <c r="F3" s="2">
        <v>12</v>
      </c>
      <c r="G3" s="2">
        <v>8.1</v>
      </c>
      <c r="H3" s="2">
        <v>24</v>
      </c>
      <c r="I3" s="2"/>
      <c r="J3" s="2"/>
      <c r="K3" s="2">
        <v>42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14.25" customHeight="1">
      <c r="A4" s="2" t="s">
        <v>50</v>
      </c>
      <c r="B4" s="2" t="s">
        <v>47</v>
      </c>
      <c r="C4" s="2" t="s">
        <v>3</v>
      </c>
      <c r="D4" s="2" t="s">
        <v>51</v>
      </c>
      <c r="E4" s="2" t="s">
        <v>52</v>
      </c>
      <c r="F4" s="2">
        <v>5</v>
      </c>
      <c r="G4" s="2">
        <v>4.4400000000000004</v>
      </c>
      <c r="H4" s="2">
        <v>5</v>
      </c>
      <c r="I4" s="2"/>
      <c r="J4" s="2"/>
      <c r="K4" s="2">
        <v>25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14.25" customHeight="1">
      <c r="A5" s="2" t="s">
        <v>53</v>
      </c>
      <c r="B5" s="2" t="s">
        <v>47</v>
      </c>
      <c r="C5" s="2" t="s">
        <v>3</v>
      </c>
      <c r="D5" s="2" t="s">
        <v>54</v>
      </c>
      <c r="E5" s="2" t="s">
        <v>55</v>
      </c>
      <c r="F5" s="2">
        <v>5</v>
      </c>
      <c r="G5" s="2">
        <v>4.83</v>
      </c>
      <c r="H5" s="2">
        <v>3</v>
      </c>
      <c r="I5" s="2"/>
      <c r="J5" s="2"/>
      <c r="K5" s="2">
        <v>10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4.25" customHeight="1">
      <c r="A6" s="2"/>
      <c r="B6" s="2"/>
      <c r="C6" s="2"/>
      <c r="D6" s="2">
        <f>SUM(90,53,42)</f>
        <v>185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ht="14.25" customHeight="1">
      <c r="A7" s="2"/>
      <c r="B7" s="2"/>
      <c r="C7" s="2"/>
      <c r="D7" s="2"/>
      <c r="E7" s="2" t="s">
        <v>56</v>
      </c>
      <c r="F7" s="2" t="s">
        <v>57</v>
      </c>
      <c r="G7" s="2" t="s">
        <v>58</v>
      </c>
      <c r="H7" s="2" t="s">
        <v>59</v>
      </c>
      <c r="I7" s="2" t="s">
        <v>57</v>
      </c>
      <c r="J7" s="2" t="s">
        <v>58</v>
      </c>
      <c r="K7" s="2" t="s">
        <v>60</v>
      </c>
      <c r="L7" s="2" t="s">
        <v>6</v>
      </c>
      <c r="M7" s="2" t="s">
        <v>15</v>
      </c>
      <c r="N7" s="2" t="s">
        <v>45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ht="14.25" customHeight="1">
      <c r="A8" s="27" t="s">
        <v>61</v>
      </c>
      <c r="B8" s="27" t="s">
        <v>62</v>
      </c>
      <c r="C8" s="27" t="s">
        <v>63</v>
      </c>
      <c r="D8" s="27" t="s">
        <v>64</v>
      </c>
      <c r="E8" s="27" t="s">
        <v>65</v>
      </c>
      <c r="F8" s="27">
        <v>39</v>
      </c>
      <c r="G8" s="27">
        <v>0.54</v>
      </c>
      <c r="H8" s="27" t="s">
        <v>66</v>
      </c>
      <c r="I8" s="27">
        <v>18</v>
      </c>
      <c r="J8" s="27">
        <v>0.43</v>
      </c>
      <c r="K8" s="27" t="s">
        <v>67</v>
      </c>
      <c r="L8" s="27">
        <v>17</v>
      </c>
      <c r="M8" s="27">
        <v>5</v>
      </c>
      <c r="N8" s="2">
        <v>35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 ht="14.25" customHeight="1">
      <c r="A9" s="27" t="s">
        <v>68</v>
      </c>
      <c r="B9" s="27" t="s">
        <v>69</v>
      </c>
      <c r="C9" s="27" t="s">
        <v>63</v>
      </c>
      <c r="D9" s="27" t="s">
        <v>70</v>
      </c>
      <c r="E9" s="27" t="s">
        <v>71</v>
      </c>
      <c r="F9" s="27">
        <v>39</v>
      </c>
      <c r="G9" s="27">
        <v>0.52</v>
      </c>
      <c r="H9" s="27" t="s">
        <v>72</v>
      </c>
      <c r="I9" s="27">
        <v>9</v>
      </c>
      <c r="J9" s="27">
        <v>0.28000000000000003</v>
      </c>
      <c r="K9" s="27" t="s">
        <v>73</v>
      </c>
      <c r="L9" s="27">
        <v>11</v>
      </c>
      <c r="M9" s="27">
        <v>8</v>
      </c>
      <c r="N9" s="2">
        <v>58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ht="14.25" customHeight="1">
      <c r="A10" s="2"/>
      <c r="B10" s="2"/>
      <c r="C10" s="2"/>
      <c r="D10" s="2"/>
      <c r="E10" s="2" t="s">
        <v>56</v>
      </c>
      <c r="F10" s="2" t="s">
        <v>57</v>
      </c>
      <c r="G10" s="2" t="s">
        <v>58</v>
      </c>
      <c r="H10" s="2" t="s">
        <v>59</v>
      </c>
      <c r="I10" s="2" t="s">
        <v>57</v>
      </c>
      <c r="J10" s="2" t="s">
        <v>58</v>
      </c>
      <c r="K10" s="2" t="s">
        <v>60</v>
      </c>
      <c r="L10" s="2" t="s">
        <v>6</v>
      </c>
      <c r="M10" s="2" t="s">
        <v>15</v>
      </c>
      <c r="N10" s="2" t="s">
        <v>45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 ht="14.25" customHeight="1">
      <c r="A11" s="27" t="s">
        <v>74</v>
      </c>
      <c r="B11" s="27"/>
      <c r="C11" s="2" t="s">
        <v>63</v>
      </c>
      <c r="D11" s="27" t="s">
        <v>75</v>
      </c>
      <c r="E11" s="2" t="s">
        <v>76</v>
      </c>
      <c r="F11" s="2">
        <v>41</v>
      </c>
      <c r="G11" s="2">
        <v>0.72</v>
      </c>
      <c r="H11" s="2" t="s">
        <v>77</v>
      </c>
      <c r="I11" s="2">
        <v>29</v>
      </c>
      <c r="J11" s="2">
        <v>0.33</v>
      </c>
      <c r="K11" s="2" t="s">
        <v>78</v>
      </c>
      <c r="L11" s="27">
        <v>15</v>
      </c>
      <c r="M11" s="27">
        <v>2</v>
      </c>
      <c r="N11" s="2">
        <v>65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 ht="14.25" customHeight="1">
      <c r="A12" s="27" t="s">
        <v>79</v>
      </c>
      <c r="B12" s="27"/>
      <c r="C12" s="2" t="s">
        <v>63</v>
      </c>
      <c r="D12" s="27" t="s">
        <v>80</v>
      </c>
      <c r="E12" s="2" t="s">
        <v>81</v>
      </c>
      <c r="F12" s="2">
        <v>71</v>
      </c>
      <c r="G12" s="2">
        <v>0.63</v>
      </c>
      <c r="H12" s="2" t="s">
        <v>82</v>
      </c>
      <c r="I12" s="2">
        <v>14</v>
      </c>
      <c r="J12" s="2">
        <v>0.21</v>
      </c>
      <c r="K12" s="2" t="s">
        <v>83</v>
      </c>
      <c r="L12" s="27">
        <v>3</v>
      </c>
      <c r="M12" s="27">
        <v>2</v>
      </c>
      <c r="N12" s="2">
        <v>79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 ht="14.25" customHeight="1">
      <c r="A13" s="27" t="s">
        <v>84</v>
      </c>
      <c r="B13" s="27"/>
      <c r="C13" s="2" t="s">
        <v>63</v>
      </c>
      <c r="D13" s="28" t="s">
        <v>85</v>
      </c>
      <c r="E13" s="2" t="s">
        <v>86</v>
      </c>
      <c r="F13" s="2">
        <v>19</v>
      </c>
      <c r="G13" s="2">
        <v>0.51</v>
      </c>
      <c r="H13" s="2" t="s">
        <v>87</v>
      </c>
      <c r="I13" s="2">
        <v>13</v>
      </c>
      <c r="J13" s="2">
        <v>0.33</v>
      </c>
      <c r="K13" s="2" t="s">
        <v>88</v>
      </c>
      <c r="L13" s="2">
        <v>8</v>
      </c>
      <c r="M13" s="2">
        <v>2</v>
      </c>
      <c r="N13" s="2">
        <v>24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ht="14.25" customHeight="1">
      <c r="A14" s="27" t="s">
        <v>89</v>
      </c>
      <c r="B14" s="27"/>
      <c r="C14" s="2" t="s">
        <v>63</v>
      </c>
      <c r="D14" s="27" t="s">
        <v>90</v>
      </c>
      <c r="E14" s="2" t="s">
        <v>91</v>
      </c>
      <c r="F14" s="2">
        <v>8</v>
      </c>
      <c r="G14" s="2">
        <v>0.67</v>
      </c>
      <c r="H14" s="2" t="s">
        <v>92</v>
      </c>
      <c r="I14" s="2">
        <v>12</v>
      </c>
      <c r="J14" s="2">
        <v>0.48</v>
      </c>
      <c r="K14" s="2" t="s">
        <v>93</v>
      </c>
      <c r="L14" s="2">
        <v>6</v>
      </c>
      <c r="M14" s="2">
        <v>0</v>
      </c>
      <c r="N14" s="2">
        <v>22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ht="14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ht="14.25" customHeight="1">
      <c r="A16" s="2"/>
      <c r="B16" s="2"/>
      <c r="C16" s="2"/>
      <c r="D16" s="2"/>
      <c r="E16" s="2" t="s">
        <v>94</v>
      </c>
      <c r="F16" s="2" t="s">
        <v>57</v>
      </c>
      <c r="G16" s="2" t="s">
        <v>58</v>
      </c>
      <c r="H16" s="2" t="s">
        <v>95</v>
      </c>
      <c r="I16" s="2" t="s">
        <v>57</v>
      </c>
      <c r="J16" s="2" t="s">
        <v>58</v>
      </c>
      <c r="K16" s="2" t="s">
        <v>96</v>
      </c>
      <c r="L16" s="2" t="s">
        <v>97</v>
      </c>
      <c r="M16" s="2" t="s">
        <v>98</v>
      </c>
      <c r="N16" s="2" t="s">
        <v>31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ht="14.25" customHeight="1">
      <c r="A17" s="2" t="s">
        <v>99</v>
      </c>
      <c r="B17" s="2" t="s">
        <v>100</v>
      </c>
      <c r="C17" s="2" t="s">
        <v>101</v>
      </c>
      <c r="D17" s="2" t="s">
        <v>102</v>
      </c>
      <c r="E17" s="29" t="s">
        <v>103</v>
      </c>
      <c r="F17" s="29">
        <v>781</v>
      </c>
      <c r="G17" s="29">
        <v>0.86</v>
      </c>
      <c r="H17" s="2" t="s">
        <v>104</v>
      </c>
      <c r="I17" s="2">
        <v>115</v>
      </c>
      <c r="J17" s="2">
        <v>0.71</v>
      </c>
      <c r="K17" s="2" t="s">
        <v>105</v>
      </c>
      <c r="L17" s="2">
        <v>119</v>
      </c>
      <c r="M17" s="2">
        <v>49</v>
      </c>
      <c r="N17" s="2">
        <v>10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ht="14.25" customHeight="1">
      <c r="A18" s="2" t="s">
        <v>106</v>
      </c>
      <c r="B18" s="2" t="s">
        <v>107</v>
      </c>
      <c r="C18" s="2" t="s">
        <v>101</v>
      </c>
      <c r="D18" s="2" t="s">
        <v>108</v>
      </c>
      <c r="E18" s="29" t="s">
        <v>109</v>
      </c>
      <c r="F18" s="29">
        <v>879</v>
      </c>
      <c r="G18" s="29">
        <v>0.8</v>
      </c>
      <c r="H18" s="2" t="s">
        <v>110</v>
      </c>
      <c r="I18" s="2">
        <v>104</v>
      </c>
      <c r="J18" s="2">
        <v>0.61</v>
      </c>
      <c r="K18" s="2" t="s">
        <v>111</v>
      </c>
      <c r="L18" s="2">
        <v>121</v>
      </c>
      <c r="M18" s="2">
        <v>41</v>
      </c>
      <c r="N18" s="2">
        <v>4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ht="14.25" customHeight="1">
      <c r="A19" s="2" t="s">
        <v>112</v>
      </c>
      <c r="B19" s="2" t="s">
        <v>113</v>
      </c>
      <c r="C19" s="2" t="s">
        <v>101</v>
      </c>
      <c r="D19" s="2" t="s">
        <v>114</v>
      </c>
      <c r="E19" s="2" t="s">
        <v>115</v>
      </c>
      <c r="F19" s="2">
        <v>982</v>
      </c>
      <c r="G19" s="2">
        <v>0.9</v>
      </c>
      <c r="H19" s="2" t="s">
        <v>116</v>
      </c>
      <c r="I19" s="2">
        <v>138</v>
      </c>
      <c r="J19" s="2">
        <v>0.69</v>
      </c>
      <c r="K19" s="2" t="s">
        <v>117</v>
      </c>
      <c r="L19" s="2">
        <v>114</v>
      </c>
      <c r="M19" s="2">
        <v>48</v>
      </c>
      <c r="N19" s="2">
        <v>12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ht="14.25" customHeight="1">
      <c r="A21" s="2"/>
      <c r="B21" s="2"/>
      <c r="C21" s="2"/>
      <c r="D21" s="2"/>
      <c r="E21" s="2" t="s">
        <v>118</v>
      </c>
      <c r="F21" s="2" t="s">
        <v>44</v>
      </c>
      <c r="G21" s="2" t="s">
        <v>119</v>
      </c>
      <c r="H21" s="2" t="s">
        <v>35</v>
      </c>
      <c r="I21" s="2"/>
      <c r="J21" s="2"/>
      <c r="K21" s="2" t="s">
        <v>120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ht="14.25" customHeight="1">
      <c r="A22" s="2" t="s">
        <v>121</v>
      </c>
      <c r="B22" s="2" t="s">
        <v>122</v>
      </c>
      <c r="C22" s="2" t="s">
        <v>123</v>
      </c>
      <c r="D22" s="2" t="s">
        <v>102</v>
      </c>
      <c r="E22" s="2" t="s">
        <v>124</v>
      </c>
      <c r="F22" s="2">
        <v>22.97</v>
      </c>
      <c r="G22" s="2">
        <v>19</v>
      </c>
      <c r="H22" s="2">
        <v>0.83</v>
      </c>
      <c r="I22" s="2"/>
      <c r="J22" s="2"/>
      <c r="K22" s="30">
        <v>0.74</v>
      </c>
      <c r="L22" s="30"/>
      <c r="M22" s="30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ht="14.25" customHeight="1">
      <c r="A24" s="2"/>
      <c r="B24" s="2"/>
      <c r="C24" s="2"/>
      <c r="D24" s="2"/>
      <c r="E24" s="31" t="s">
        <v>125</v>
      </c>
      <c r="F24" s="32" t="s">
        <v>57</v>
      </c>
      <c r="G24" s="32" t="s">
        <v>58</v>
      </c>
      <c r="H24" s="31" t="s">
        <v>126</v>
      </c>
      <c r="I24" s="32" t="s">
        <v>57</v>
      </c>
      <c r="J24" s="32" t="s">
        <v>58</v>
      </c>
      <c r="K24" s="31" t="s">
        <v>127</v>
      </c>
      <c r="L24" s="32" t="s">
        <v>128</v>
      </c>
      <c r="M24" s="32" t="s">
        <v>58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ht="14.25" customHeight="1">
      <c r="A25" s="2" t="s">
        <v>129</v>
      </c>
      <c r="B25" s="2" t="s">
        <v>130</v>
      </c>
      <c r="C25" s="2" t="s">
        <v>131</v>
      </c>
      <c r="D25" s="2" t="s">
        <v>132</v>
      </c>
      <c r="E25" s="2" t="s">
        <v>133</v>
      </c>
      <c r="F25" s="2">
        <v>982</v>
      </c>
      <c r="G25" s="2">
        <v>0.91</v>
      </c>
      <c r="H25" s="2" t="s">
        <v>134</v>
      </c>
      <c r="I25" s="2">
        <v>25</v>
      </c>
      <c r="J25" s="2">
        <v>0.42</v>
      </c>
      <c r="K25" s="2" t="s">
        <v>135</v>
      </c>
      <c r="L25" s="2">
        <v>130</v>
      </c>
      <c r="M25" s="2">
        <v>0.9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ht="14.25" customHeight="1">
      <c r="A26" s="2" t="s">
        <v>136</v>
      </c>
      <c r="B26" s="2" t="s">
        <v>137</v>
      </c>
      <c r="C26" s="2" t="s">
        <v>131</v>
      </c>
      <c r="D26" s="2" t="s">
        <v>138</v>
      </c>
      <c r="E26" s="2" t="s">
        <v>139</v>
      </c>
      <c r="F26" s="2">
        <v>539</v>
      </c>
      <c r="G26" s="2">
        <v>0.77</v>
      </c>
      <c r="H26" s="2" t="s">
        <v>140</v>
      </c>
      <c r="I26" s="2">
        <v>14</v>
      </c>
      <c r="J26" s="2">
        <v>0.28999999999999998</v>
      </c>
      <c r="K26" s="2" t="s">
        <v>141</v>
      </c>
      <c r="L26" s="2">
        <v>99</v>
      </c>
      <c r="M26" s="2">
        <v>0.74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14.25" customHeight="1">
      <c r="A28" s="2"/>
      <c r="B28" s="2"/>
      <c r="C28" s="2"/>
      <c r="D28" s="2"/>
      <c r="E28" s="2" t="s">
        <v>94</v>
      </c>
      <c r="F28" s="2" t="s">
        <v>57</v>
      </c>
      <c r="G28" s="2" t="s">
        <v>58</v>
      </c>
      <c r="H28" s="2" t="s">
        <v>95</v>
      </c>
      <c r="I28" s="2" t="s">
        <v>57</v>
      </c>
      <c r="J28" s="2" t="s">
        <v>58</v>
      </c>
      <c r="K28" s="2" t="s">
        <v>96</v>
      </c>
      <c r="L28" s="2" t="s">
        <v>97</v>
      </c>
      <c r="M28" s="2" t="s">
        <v>98</v>
      </c>
      <c r="N28" s="2" t="s">
        <v>142</v>
      </c>
      <c r="O28" s="2" t="s">
        <v>143</v>
      </c>
      <c r="P28" s="2" t="s">
        <v>58</v>
      </c>
      <c r="Q28" s="2" t="s">
        <v>144</v>
      </c>
      <c r="R28" s="2" t="s">
        <v>145</v>
      </c>
      <c r="S28" s="2" t="s">
        <v>58</v>
      </c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ht="14.25" customHeight="1">
      <c r="A29" s="27" t="s">
        <v>74</v>
      </c>
      <c r="B29" s="27" t="s">
        <v>146</v>
      </c>
      <c r="C29" s="27" t="s">
        <v>147</v>
      </c>
      <c r="D29" s="27" t="s">
        <v>75</v>
      </c>
      <c r="E29" s="2" t="s">
        <v>148</v>
      </c>
      <c r="F29" s="2">
        <v>520</v>
      </c>
      <c r="G29" s="2">
        <v>0.72</v>
      </c>
      <c r="H29" s="2" t="s">
        <v>149</v>
      </c>
      <c r="I29" s="2">
        <v>98</v>
      </c>
      <c r="J29" s="2">
        <v>0.61</v>
      </c>
      <c r="K29" s="2" t="s">
        <v>150</v>
      </c>
      <c r="L29" s="2">
        <v>60</v>
      </c>
      <c r="M29" s="2">
        <v>16</v>
      </c>
      <c r="N29" s="2" t="s">
        <v>151</v>
      </c>
      <c r="O29" s="2">
        <v>29</v>
      </c>
      <c r="P29" s="2">
        <v>0.37</v>
      </c>
      <c r="Q29" s="2" t="s">
        <v>76</v>
      </c>
      <c r="R29" s="2">
        <v>41</v>
      </c>
      <c r="S29" s="2">
        <v>0.72</v>
      </c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14.25" customHeight="1">
      <c r="A30" s="27" t="s">
        <v>79</v>
      </c>
      <c r="B30" s="27" t="s">
        <v>152</v>
      </c>
      <c r="C30" s="27" t="s">
        <v>147</v>
      </c>
      <c r="D30" s="27" t="s">
        <v>80</v>
      </c>
      <c r="E30" s="2" t="s">
        <v>153</v>
      </c>
      <c r="F30" s="2">
        <v>695</v>
      </c>
      <c r="G30" s="2">
        <v>0.75</v>
      </c>
      <c r="H30" s="2" t="s">
        <v>154</v>
      </c>
      <c r="I30" s="2">
        <v>138</v>
      </c>
      <c r="J30" s="2">
        <v>0.62</v>
      </c>
      <c r="K30" s="2" t="s">
        <v>155</v>
      </c>
      <c r="L30" s="2">
        <v>92</v>
      </c>
      <c r="M30" s="2">
        <v>30</v>
      </c>
      <c r="N30" s="2" t="s">
        <v>82</v>
      </c>
      <c r="O30" s="2">
        <v>14</v>
      </c>
      <c r="P30" s="2">
        <v>0.21</v>
      </c>
      <c r="Q30" s="2" t="s">
        <v>81</v>
      </c>
      <c r="R30" s="2">
        <v>71</v>
      </c>
      <c r="S30" s="2">
        <v>0.63</v>
      </c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ht="14.25" customHeight="1">
      <c r="A31" s="27" t="s">
        <v>84</v>
      </c>
      <c r="B31" s="27" t="s">
        <v>152</v>
      </c>
      <c r="C31" s="27" t="s">
        <v>147</v>
      </c>
      <c r="D31" s="28" t="s">
        <v>85</v>
      </c>
      <c r="E31" s="2" t="s">
        <v>156</v>
      </c>
      <c r="F31" s="2">
        <v>179</v>
      </c>
      <c r="G31" s="2">
        <v>0.69</v>
      </c>
      <c r="H31" s="2" t="s">
        <v>157</v>
      </c>
      <c r="I31" s="2">
        <v>35</v>
      </c>
      <c r="J31" s="2">
        <v>0.65</v>
      </c>
      <c r="K31" s="2" t="s">
        <v>158</v>
      </c>
      <c r="L31" s="2">
        <v>38</v>
      </c>
      <c r="M31" s="2">
        <v>19</v>
      </c>
      <c r="N31" s="2" t="s">
        <v>159</v>
      </c>
      <c r="O31" s="2">
        <v>13</v>
      </c>
      <c r="P31" s="2">
        <v>0.39</v>
      </c>
      <c r="Q31" s="2" t="s">
        <v>86</v>
      </c>
      <c r="R31" s="2">
        <v>19</v>
      </c>
      <c r="S31" s="2">
        <v>0.51</v>
      </c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ht="14.25" customHeight="1">
      <c r="A32" s="27" t="s">
        <v>89</v>
      </c>
      <c r="B32" s="27" t="s">
        <v>146</v>
      </c>
      <c r="C32" s="27" t="s">
        <v>147</v>
      </c>
      <c r="D32" s="27" t="s">
        <v>90</v>
      </c>
      <c r="E32" s="2" t="s">
        <v>160</v>
      </c>
      <c r="F32" s="2">
        <v>167</v>
      </c>
      <c r="G32" s="2">
        <v>0.73</v>
      </c>
      <c r="H32" s="2" t="s">
        <v>161</v>
      </c>
      <c r="I32" s="2">
        <v>15</v>
      </c>
      <c r="J32" s="2">
        <v>0.68</v>
      </c>
      <c r="K32" s="2" t="s">
        <v>162</v>
      </c>
      <c r="L32" s="2">
        <v>18</v>
      </c>
      <c r="M32" s="2">
        <v>6</v>
      </c>
      <c r="N32" s="2" t="s">
        <v>92</v>
      </c>
      <c r="O32" s="2">
        <v>12</v>
      </c>
      <c r="P32" s="2">
        <v>0.48</v>
      </c>
      <c r="Q32" s="2" t="s">
        <v>163</v>
      </c>
      <c r="R32" s="2">
        <v>8</v>
      </c>
      <c r="S32" s="2">
        <v>0.53</v>
      </c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4.25" customHeight="1">
      <c r="A36" s="2"/>
      <c r="B36" s="2" t="s">
        <v>164</v>
      </c>
      <c r="C36" s="2">
        <f>COUNTIF($C$2:$C$35,"Striker")</f>
        <v>3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ht="14.25" customHeight="1">
      <c r="A37" s="2"/>
      <c r="B37" s="2" t="s">
        <v>165</v>
      </c>
      <c r="C37" s="2">
        <f>COUNTIF($C$2:$C$35,"Wingers")</f>
        <v>6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ht="14.25" customHeight="1">
      <c r="A38" s="2"/>
      <c r="B38" s="2" t="s">
        <v>166</v>
      </c>
      <c r="C38" s="2">
        <f>COUNTIF($C$2:$C$35,"Attacking Mids")</f>
        <v>0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ht="14.25" customHeight="1">
      <c r="A39" s="2"/>
      <c r="B39" s="2" t="s">
        <v>167</v>
      </c>
      <c r="C39" s="2">
        <f t="shared" ref="C39:C40" si="0">COUNTIF($C$2:$C$35,"Wingers")</f>
        <v>6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ht="14.25" customHeight="1">
      <c r="A40" s="2"/>
      <c r="B40" s="2" t="s">
        <v>168</v>
      </c>
      <c r="C40" s="2">
        <f t="shared" si="0"/>
        <v>6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 ht="14.25" customHeight="1">
      <c r="A41" s="2"/>
      <c r="B41" s="2" t="s">
        <v>169</v>
      </c>
      <c r="C41" s="2">
        <f>COUNTIF($C$2:$C$35,"Center Back")</f>
        <v>3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2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2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2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2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1:32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1:3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1:32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spans="1:32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spans="1:32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spans="1:32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spans="1:32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spans="1:32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spans="1:32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spans="1:32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spans="1:32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spans="1:3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spans="1:32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spans="1:32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spans="1:32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spans="1:32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spans="1:32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spans="1:32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spans="1:32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spans="1:32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spans="1:32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spans="1:3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1:32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spans="1:32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1:32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1:32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spans="1:32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spans="1:32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spans="1:32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spans="1:32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spans="1:32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spans="1:3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1:32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spans="1:32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spans="1:32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1:32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spans="1:32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1:32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spans="1:32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1:32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1:32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1:32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1:32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1:32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1:32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1:32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1:32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2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1:32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1:32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1:3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1:32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spans="1:32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1:32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1:32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1:32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1:32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1:32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1: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1:32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1:32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1:32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spans="1:32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1:32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spans="1:32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spans="1:32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1:32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spans="1:32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spans="1:3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1:32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spans="1:32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spans="1:32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1:32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spans="1:32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spans="1:32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spans="1:32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spans="1:3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spans="1:32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spans="1:32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spans="1:32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spans="1:32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spans="1:32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spans="1:32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spans="1:32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spans="1:32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spans="1:3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spans="1:32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spans="1:32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spans="1:32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spans="1:32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spans="1:32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spans="1:32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spans="1:32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spans="1:32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spans="1:32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spans="1:3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spans="1:32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spans="1:32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spans="1:32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spans="1:32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spans="1:32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spans="1:32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spans="1:32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spans="1:32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spans="1:32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spans="1:3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spans="1:32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spans="1:32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spans="1:32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spans="1:32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spans="1:32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spans="1:32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spans="1:32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spans="1:32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spans="1:32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spans="1:3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spans="1:32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spans="1:32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spans="1:32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spans="1:32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spans="1:32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spans="1:32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spans="1:32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spans="1:32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spans="1:32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spans="1:3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spans="1:32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spans="1:32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spans="1:32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spans="1:32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spans="1:32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spans="1:32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spans="1:32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spans="1:32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spans="1:32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spans="1:3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spans="1:32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spans="1:32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spans="1:32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spans="1:32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spans="1:32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spans="1:32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spans="1:32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spans="1:32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spans="1:32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spans="1:3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spans="1:32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spans="1:32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spans="1:32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spans="1:32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spans="1:32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spans="1:32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spans="1:32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spans="1:32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spans="1:32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spans="1: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spans="1:32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spans="1:32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spans="1:32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spans="1:32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spans="1:32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spans="1:32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spans="1:32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spans="1:32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spans="1:32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spans="1:3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spans="1:32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spans="1:32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spans="1:32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spans="1:32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spans="1:32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spans="1:32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spans="1:32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spans="1:32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spans="1:32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spans="1:3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spans="1:32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spans="1:32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spans="1:32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spans="1:32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spans="1:32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spans="1:32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spans="1:32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spans="1:32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spans="1:32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spans="1:3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spans="1:32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spans="1:32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spans="1:32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spans="1:32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spans="1:32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spans="1:32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spans="1:32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spans="1:32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spans="1:32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spans="1:3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spans="1:32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spans="1:32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spans="1:32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spans="1:32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spans="1:32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spans="1:32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spans="1:32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spans="1:32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spans="1:32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spans="1:3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spans="1:32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spans="1:32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spans="1:32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spans="1:32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spans="1:32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spans="1:32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spans="1:32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spans="1:32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spans="1:32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spans="1:3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spans="1:32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spans="1:32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spans="1:32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spans="1:32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spans="1:32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spans="1:32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spans="1:32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spans="1:32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spans="1:32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spans="1:3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spans="1:32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spans="1:32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spans="1:32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spans="1:32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spans="1:32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spans="1:32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spans="1:32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spans="1:32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spans="1:32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spans="1:3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spans="1:32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spans="1:32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spans="1:32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spans="1:32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spans="1:32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spans="1:32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spans="1:32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spans="1:32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spans="1:32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spans="1:3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spans="1:32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spans="1:32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spans="1:32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spans="1:32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spans="1:32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spans="1:32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spans="1:32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spans="1:32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spans="1:32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spans="1: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spans="1:32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spans="1:32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spans="1:32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spans="1:32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spans="1:32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spans="1:32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spans="1:32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spans="1:32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spans="1:32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spans="1:3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spans="1:32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spans="1:32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spans="1:32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spans="1:32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spans="1:32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spans="1:32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spans="1:32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spans="1:32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spans="1:32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spans="1:3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spans="1:32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spans="1:32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spans="1:32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spans="1:32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spans="1:32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spans="1:32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spans="1:32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spans="1:32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spans="1:32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spans="1:3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spans="1:32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spans="1:32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spans="1:32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spans="1:32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spans="1:32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spans="1:32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spans="1:32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spans="1:32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spans="1:32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spans="1:3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spans="1:32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spans="1:32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spans="1:32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spans="1:32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spans="1:32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spans="1:32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spans="1:32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spans="1:32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spans="1:32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spans="1:3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spans="1:32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spans="1:32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spans="1:32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spans="1:32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spans="1:32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spans="1:32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spans="1:32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spans="1:32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spans="1:32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spans="1:3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spans="1:32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spans="1:32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spans="1:32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spans="1:32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spans="1:32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spans="1:32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spans="1:32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spans="1:32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spans="1:32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spans="1:3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spans="1:32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spans="1:32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spans="1:32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spans="1:32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spans="1:32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spans="1:32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spans="1:32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spans="1:32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spans="1:32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spans="1:3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spans="1:32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spans="1:32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spans="1:32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spans="1:32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spans="1:32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spans="1:32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spans="1:32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spans="1:32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spans="1:32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spans="1:3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spans="1:32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spans="1:32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spans="1:32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spans="1:32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spans="1:32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spans="1:32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spans="1:32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spans="1:32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spans="1:32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spans="1: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spans="1:32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spans="1:32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spans="1:32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spans="1:32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spans="1:32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spans="1:32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spans="1:32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spans="1:32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spans="1:32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spans="1:3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spans="1:32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spans="1:32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spans="1:32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spans="1:32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spans="1:32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spans="1:32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spans="1:32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spans="1:32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spans="1:32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spans="1:3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spans="1:32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spans="1:32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spans="1:32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spans="1:32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spans="1:32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spans="1:32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spans="1:32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spans="1:32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spans="1:32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spans="1:3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spans="1:32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spans="1:32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spans="1:32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spans="1:32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spans="1:32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spans="1:32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spans="1:32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spans="1:32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spans="1:32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spans="1:3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spans="1:32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spans="1:32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spans="1:32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spans="1:32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spans="1:32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spans="1:32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spans="1:32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spans="1:32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spans="1:32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spans="1:3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spans="1:32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spans="1:32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spans="1:32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spans="1:32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spans="1:32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spans="1:32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spans="1:32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spans="1:32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spans="1:32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spans="1:3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spans="1:32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spans="1:32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spans="1:32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spans="1:32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spans="1:32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spans="1:32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spans="1:32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spans="1:32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spans="1:32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spans="1:3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spans="1:32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spans="1:32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spans="1:32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spans="1:32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spans="1:32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spans="1:32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spans="1:32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spans="1:32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spans="1:32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spans="1:3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spans="1:32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spans="1:32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spans="1:32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spans="1:32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spans="1:32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spans="1:32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spans="1:32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spans="1:32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spans="1:32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spans="1:3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spans="1:32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spans="1:32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spans="1:32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spans="1:32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spans="1:32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spans="1:32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spans="1:32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spans="1:32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spans="1:32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spans="1: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spans="1:32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spans="1:32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spans="1:32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spans="1:32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spans="1:32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spans="1:32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spans="1:32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spans="1:32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spans="1:32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spans="1:3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spans="1:32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spans="1:32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spans="1:32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spans="1:32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spans="1:32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spans="1:32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spans="1:32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spans="1:32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spans="1:32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spans="1:3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spans="1:32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spans="1:32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spans="1:32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spans="1:32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spans="1:32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spans="1:32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spans="1:32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spans="1:32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spans="1:32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spans="1:3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spans="1:32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spans="1:32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spans="1:32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spans="1:32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spans="1:32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spans="1:32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spans="1:32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spans="1:32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spans="1:32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spans="1:3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spans="1:32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spans="1:32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spans="1:32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spans="1:32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spans="1:32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spans="1:32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spans="1:32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spans="1:32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spans="1:32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spans="1:3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spans="1:32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spans="1:32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spans="1:32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spans="1:32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spans="1:32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spans="1:32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spans="1:32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spans="1:32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spans="1:32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spans="1:3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spans="1:32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spans="1:32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spans="1:32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spans="1:32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spans="1:32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spans="1:32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spans="1:32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spans="1:32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spans="1:32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spans="1:3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spans="1:32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spans="1:32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spans="1:32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spans="1:32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spans="1:32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spans="1:32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spans="1:32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spans="1:32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spans="1:32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spans="1:3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spans="1:32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spans="1:32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spans="1:32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spans="1:32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spans="1:32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spans="1:32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spans="1:32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spans="1:32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spans="1:32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spans="1:3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spans="1:32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spans="1:32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spans="1:32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spans="1:32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spans="1:32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spans="1:32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spans="1:32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spans="1:32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spans="1:32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spans="1: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spans="1:32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spans="1:32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spans="1:32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spans="1:32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spans="1:32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spans="1:32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spans="1:32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spans="1:32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spans="1:32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spans="1:3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spans="1:32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spans="1:32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spans="1:32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spans="1:32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spans="1:32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spans="1:32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spans="1:32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spans="1:32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spans="1:32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spans="1:3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spans="1:32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spans="1:32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spans="1:32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spans="1:32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spans="1:32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spans="1:32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spans="1:32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spans="1:32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spans="1:32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spans="1:3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spans="1:32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spans="1:32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spans="1:32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spans="1:32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spans="1:32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spans="1:32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spans="1:32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spans="1:32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spans="1:32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spans="1:3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spans="1:32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spans="1:32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spans="1:32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spans="1:32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spans="1:32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spans="1:32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spans="1:32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spans="1:32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spans="1:32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spans="1:3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spans="1:32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spans="1:32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spans="1:32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spans="1:32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spans="1:32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spans="1:32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spans="1:32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spans="1:32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spans="1:32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spans="1:3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spans="1:32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spans="1:32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spans="1:32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spans="1:32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spans="1:32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spans="1:32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spans="1:32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spans="1:32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spans="1:32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spans="1:3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spans="1:32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spans="1:32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spans="1:32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spans="1:32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spans="1:32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spans="1:32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spans="1:32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spans="1:32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spans="1:32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spans="1:3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spans="1:32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spans="1:32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spans="1:32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spans="1:32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spans="1:32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spans="1:32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spans="1:32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spans="1:32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spans="1:32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spans="1:3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spans="1:32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spans="1:32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spans="1:32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spans="1:32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spans="1:32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spans="1:32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spans="1:32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spans="1:32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spans="1:32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spans="1: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spans="1:32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spans="1:32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spans="1:32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spans="1:32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spans="1:32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spans="1:32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spans="1:32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spans="1:32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spans="1:32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spans="1:3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spans="1:32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spans="1:32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spans="1:32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spans="1:32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spans="1:32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spans="1:32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spans="1:32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spans="1:32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spans="1:32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spans="1:3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spans="1:32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spans="1:32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spans="1:32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spans="1:32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spans="1:32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spans="1:32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spans="1:32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spans="1:32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spans="1:32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spans="1:3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spans="1:32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spans="1:32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spans="1:32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spans="1:32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spans="1:32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spans="1:32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spans="1:32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spans="1:32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spans="1:32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spans="1:3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spans="1:32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spans="1:32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spans="1:32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spans="1:32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spans="1:32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spans="1:32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spans="1:32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spans="1:32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spans="1:32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spans="1:3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spans="1:32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spans="1:32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spans="1:32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spans="1:32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spans="1:32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spans="1:32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spans="1:32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spans="1:32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spans="1:32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spans="1:3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spans="1:32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spans="1:32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spans="1:32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spans="1:32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spans="1:32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spans="1:32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spans="1:32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spans="1:32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spans="1:32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spans="1:3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spans="1:32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spans="1:32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spans="1:32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spans="1:32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spans="1:32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spans="1:32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spans="1:32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spans="1:32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spans="1:32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spans="1:3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spans="1:32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spans="1:32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spans="1:32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spans="1:32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spans="1:32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spans="1:32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spans="1:32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spans="1:32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spans="1:32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spans="1:3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spans="1:32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spans="1:32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spans="1:32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spans="1:32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spans="1:32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spans="1:32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spans="1:32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spans="1:32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spans="1:32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spans="1: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spans="1:32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spans="1:32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spans="1:32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spans="1:32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spans="1:32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spans="1:32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spans="1:32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spans="1:32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spans="1:32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spans="1:3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spans="1:32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spans="1:32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spans="1:32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spans="1:32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spans="1:32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spans="1:32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spans="1:32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spans="1:32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spans="1:32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spans="1:3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spans="1:32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spans="1:32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spans="1:32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spans="1:32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spans="1:32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spans="1:32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spans="1:32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spans="1:32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spans="1:32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spans="1:3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spans="1:32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spans="1:32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spans="1:32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spans="1:32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spans="1:32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spans="1:32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spans="1:32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spans="1:32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spans="1:32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spans="1:3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spans="1:32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spans="1:32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spans="1:32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spans="1:32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spans="1:32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spans="1:32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spans="1:32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spans="1:32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spans="1:32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spans="1:3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spans="1:32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spans="1:32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spans="1:32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spans="1:32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spans="1:32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spans="1:32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spans="1:32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spans="1:32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spans="1:32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spans="1:3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spans="1:32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spans="1:32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spans="1:32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spans="1:32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spans="1:32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spans="1:32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spans="1:32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spans="1:32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spans="1:32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spans="1:3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spans="1:32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spans="1:32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spans="1:32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spans="1:32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spans="1:32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spans="1:32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spans="1:32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spans="1:32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spans="1:32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spans="1:3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spans="1:32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spans="1:32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spans="1:32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spans="1:32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spans="1:32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spans="1:32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spans="1:32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spans="1:32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spans="1:32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spans="1:3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spans="1:32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spans="1:32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spans="1:32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spans="1:32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spans="1:32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spans="1:32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spans="1:32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spans="1:32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spans="1:32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spans="1: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spans="1:32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spans="1:32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spans="1:32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spans="1:32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spans="1:32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spans="1:32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spans="1:32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spans="1:32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spans="1:32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spans="1:3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spans="1:32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spans="1:32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spans="1:32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spans="1:32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spans="1:32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spans="1:32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spans="1:32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spans="1:32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spans="1:32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spans="1:3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spans="1:32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spans="1:32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spans="1:32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spans="1:32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spans="1:32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spans="1:32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spans="1:32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spans="1:32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spans="1:32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spans="1:3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spans="1:32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spans="1:32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spans="1:32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spans="1:32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spans="1:32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spans="1:32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spans="1:32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spans="1:32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spans="1:32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spans="1:3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spans="1:32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spans="1:32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spans="1:32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spans="1:32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spans="1:32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spans="1:32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spans="1:32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spans="1:32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spans="1:32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spans="1:3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spans="1:32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spans="1:32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spans="1:32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spans="1:32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spans="1:32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spans="1:32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spans="1:32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spans="1:32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spans="1:32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spans="1:3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spans="1:32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spans="1:32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spans="1:32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spans="1:32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spans="1:32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 spans="1:32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 spans="1:32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 spans="1:32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  <row r="1001" spans="1:32" ht="14.2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</row>
    <row r="1002" spans="1:32" ht="14.2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</row>
    <row r="1003" spans="1:32" ht="14.2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</row>
    <row r="1004" spans="1:32" ht="14.2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</row>
    <row r="1005" spans="1:32" ht="14.2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</row>
    <row r="1006" spans="1:32" ht="14.2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</row>
  </sheetData>
  <mergeCells count="2">
    <mergeCell ref="E1:K1"/>
    <mergeCell ref="N1:R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11"/>
  <sheetViews>
    <sheetView workbookViewId="0"/>
  </sheetViews>
  <sheetFormatPr defaultColWidth="14.453125" defaultRowHeight="15" customHeight="1"/>
  <cols>
    <col min="1" max="1" width="16.453125" customWidth="1"/>
    <col min="2" max="2" width="15.08984375" customWidth="1"/>
    <col min="3" max="3" width="29.08984375" customWidth="1"/>
    <col min="4" max="4" width="22" customWidth="1"/>
    <col min="5" max="5" width="40.81640625" customWidth="1"/>
    <col min="6" max="6" width="14" customWidth="1"/>
    <col min="7" max="7" width="12.7265625" customWidth="1"/>
    <col min="8" max="8" width="29.7265625" customWidth="1"/>
    <col min="9" max="9" width="18.26953125" customWidth="1"/>
    <col min="10" max="10" width="17.08984375" customWidth="1"/>
    <col min="11" max="11" width="27.7265625" customWidth="1"/>
    <col min="12" max="14" width="18.26953125" customWidth="1"/>
    <col min="15" max="30" width="8.7265625" customWidth="1"/>
  </cols>
  <sheetData>
    <row r="1" spans="1:30" ht="14.25" customHeight="1">
      <c r="A1" s="1" t="s">
        <v>37</v>
      </c>
      <c r="B1" s="1" t="s">
        <v>38</v>
      </c>
      <c r="C1" s="1" t="s">
        <v>39</v>
      </c>
      <c r="D1" s="1" t="s">
        <v>40</v>
      </c>
      <c r="E1" s="49" t="s">
        <v>41</v>
      </c>
      <c r="F1" s="46"/>
      <c r="G1" s="46"/>
      <c r="H1" s="46"/>
      <c r="I1" s="46"/>
      <c r="J1" s="46"/>
      <c r="K1" s="46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14.25" customHeight="1">
      <c r="A2" s="2"/>
      <c r="B2" s="2"/>
      <c r="C2" s="2"/>
      <c r="D2" s="2"/>
      <c r="E2" s="31" t="s">
        <v>42</v>
      </c>
      <c r="F2" s="32" t="s">
        <v>43</v>
      </c>
      <c r="G2" s="32" t="s">
        <v>44</v>
      </c>
      <c r="H2" s="2" t="s">
        <v>6</v>
      </c>
      <c r="I2" s="2"/>
      <c r="J2" s="2"/>
      <c r="K2" s="2" t="s">
        <v>45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14.25" customHeight="1">
      <c r="A3" s="2" t="s">
        <v>170</v>
      </c>
      <c r="B3" s="2" t="s">
        <v>47</v>
      </c>
      <c r="C3" s="2" t="s">
        <v>3</v>
      </c>
      <c r="D3" s="2" t="s">
        <v>70</v>
      </c>
      <c r="E3" s="2" t="s">
        <v>171</v>
      </c>
      <c r="F3" s="2">
        <v>12</v>
      </c>
      <c r="G3" s="2">
        <v>10.98</v>
      </c>
      <c r="H3" s="2">
        <v>6</v>
      </c>
      <c r="I3" s="2"/>
      <c r="J3" s="2"/>
      <c r="K3" s="2">
        <v>30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ht="14.2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ht="14.25" customHeight="1">
      <c r="A5" s="2"/>
      <c r="B5" s="2"/>
      <c r="C5" s="2"/>
      <c r="D5" s="2"/>
      <c r="E5" s="2" t="s">
        <v>56</v>
      </c>
      <c r="F5" s="2" t="s">
        <v>57</v>
      </c>
      <c r="G5" s="2" t="s">
        <v>58</v>
      </c>
      <c r="H5" s="2" t="s">
        <v>59</v>
      </c>
      <c r="I5" s="2"/>
      <c r="J5" s="2"/>
      <c r="K5" s="2" t="s">
        <v>60</v>
      </c>
      <c r="L5" s="2" t="s">
        <v>172</v>
      </c>
      <c r="M5" s="2" t="s">
        <v>43</v>
      </c>
      <c r="N5" s="2" t="s">
        <v>45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ht="14.25" customHeight="1">
      <c r="A6" s="27" t="s">
        <v>173</v>
      </c>
      <c r="B6" s="27" t="s">
        <v>174</v>
      </c>
      <c r="C6" s="27" t="s">
        <v>63</v>
      </c>
      <c r="D6" s="27" t="s">
        <v>175</v>
      </c>
      <c r="E6" s="27" t="s">
        <v>176</v>
      </c>
      <c r="F6" s="27">
        <v>4</v>
      </c>
      <c r="G6" s="27">
        <v>0.5</v>
      </c>
      <c r="H6" s="27" t="s">
        <v>177</v>
      </c>
      <c r="I6" s="27">
        <v>12</v>
      </c>
      <c r="J6" s="27">
        <v>0.3</v>
      </c>
      <c r="K6" s="27" t="s">
        <v>178</v>
      </c>
      <c r="L6" s="2">
        <v>5</v>
      </c>
      <c r="M6" s="2">
        <v>3</v>
      </c>
      <c r="N6" s="2">
        <v>17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ht="14.25" customHeight="1">
      <c r="A7" s="27" t="s">
        <v>179</v>
      </c>
      <c r="B7" s="27" t="s">
        <v>174</v>
      </c>
      <c r="C7" s="27" t="s">
        <v>63</v>
      </c>
      <c r="D7" s="27" t="s">
        <v>180</v>
      </c>
      <c r="E7" s="27" t="s">
        <v>181</v>
      </c>
      <c r="F7" s="27">
        <v>24</v>
      </c>
      <c r="G7" s="27">
        <v>0.6</v>
      </c>
      <c r="H7" s="27" t="s">
        <v>182</v>
      </c>
      <c r="I7" s="27">
        <v>4</v>
      </c>
      <c r="J7" s="27">
        <v>0.25</v>
      </c>
      <c r="K7" s="27" t="s">
        <v>183</v>
      </c>
      <c r="L7" s="2">
        <v>2</v>
      </c>
      <c r="M7" s="2">
        <v>3</v>
      </c>
      <c r="N7" s="2">
        <v>22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ht="14.25" customHeight="1">
      <c r="A8" s="27" t="s">
        <v>184</v>
      </c>
      <c r="B8" s="27" t="s">
        <v>185</v>
      </c>
      <c r="C8" s="27" t="s">
        <v>63</v>
      </c>
      <c r="D8" s="27" t="s">
        <v>186</v>
      </c>
      <c r="E8" s="27" t="s">
        <v>187</v>
      </c>
      <c r="F8" s="27">
        <v>37</v>
      </c>
      <c r="G8" s="27">
        <v>0.46</v>
      </c>
      <c r="H8" s="27" t="s">
        <v>188</v>
      </c>
      <c r="I8" s="27">
        <v>8</v>
      </c>
      <c r="J8" s="27">
        <v>0.33</v>
      </c>
      <c r="K8" s="27" t="s">
        <v>189</v>
      </c>
      <c r="L8" s="2">
        <v>9</v>
      </c>
      <c r="M8" s="2">
        <v>3</v>
      </c>
      <c r="N8" s="2">
        <v>47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ht="14.25" customHeight="1">
      <c r="A9" s="2" t="s">
        <v>190</v>
      </c>
      <c r="B9" s="2" t="s">
        <v>191</v>
      </c>
      <c r="C9" s="2" t="s">
        <v>63</v>
      </c>
      <c r="D9" s="2" t="s">
        <v>51</v>
      </c>
      <c r="E9" s="2" t="s">
        <v>192</v>
      </c>
      <c r="F9" s="2">
        <v>37</v>
      </c>
      <c r="G9" s="2">
        <v>0.55000000000000004</v>
      </c>
      <c r="H9" s="2" t="s">
        <v>193</v>
      </c>
      <c r="I9" s="2">
        <v>8</v>
      </c>
      <c r="J9" s="2">
        <v>0.3</v>
      </c>
      <c r="K9" s="2" t="s">
        <v>194</v>
      </c>
      <c r="L9" s="2">
        <v>9</v>
      </c>
      <c r="M9" s="2">
        <v>4</v>
      </c>
      <c r="N9" s="2">
        <v>19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14.2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14.25" customHeight="1">
      <c r="A11" s="2"/>
      <c r="B11" s="2"/>
      <c r="C11" s="2"/>
      <c r="D11" s="2"/>
      <c r="E11" s="2" t="s">
        <v>94</v>
      </c>
      <c r="F11" s="2"/>
      <c r="G11" s="2"/>
      <c r="H11" s="2" t="s">
        <v>95</v>
      </c>
      <c r="I11" s="2"/>
      <c r="J11" s="2"/>
      <c r="K11" s="2" t="s">
        <v>96</v>
      </c>
      <c r="L11" s="2"/>
      <c r="M11" s="2"/>
      <c r="N11" s="2" t="s">
        <v>31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14.25" customHeight="1">
      <c r="A12" s="2" t="s">
        <v>195</v>
      </c>
      <c r="B12" s="2" t="s">
        <v>107</v>
      </c>
      <c r="C12" s="2" t="s">
        <v>101</v>
      </c>
      <c r="D12" s="2" t="s">
        <v>108</v>
      </c>
      <c r="E12" s="2" t="s">
        <v>196</v>
      </c>
      <c r="F12" s="2">
        <v>649</v>
      </c>
      <c r="G12" s="2">
        <v>0.83</v>
      </c>
      <c r="H12" s="2" t="s">
        <v>197</v>
      </c>
      <c r="I12" s="2">
        <v>66</v>
      </c>
      <c r="J12" s="2">
        <v>0.61</v>
      </c>
      <c r="K12" s="2" t="s">
        <v>198</v>
      </c>
      <c r="L12" s="2">
        <v>90</v>
      </c>
      <c r="M12" s="2">
        <v>43</v>
      </c>
      <c r="N12" s="2">
        <v>11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ht="14.25" customHeight="1">
      <c r="A13" s="2" t="s">
        <v>199</v>
      </c>
      <c r="B13" s="2" t="s">
        <v>113</v>
      </c>
      <c r="C13" s="2" t="s">
        <v>101</v>
      </c>
      <c r="D13" s="2" t="s">
        <v>108</v>
      </c>
      <c r="E13" s="2" t="s">
        <v>200</v>
      </c>
      <c r="F13" s="2">
        <v>596</v>
      </c>
      <c r="G13" s="2">
        <v>0.83</v>
      </c>
      <c r="H13" s="2" t="s">
        <v>201</v>
      </c>
      <c r="I13" s="2">
        <v>88</v>
      </c>
      <c r="J13" s="2">
        <v>0.76</v>
      </c>
      <c r="K13" s="2" t="s">
        <v>202</v>
      </c>
      <c r="L13" s="2">
        <v>99</v>
      </c>
      <c r="M13" s="2">
        <v>70</v>
      </c>
      <c r="N13" s="2">
        <v>11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ht="14.25" customHeight="1">
      <c r="A14" s="2" t="s">
        <v>203</v>
      </c>
      <c r="B14" s="2" t="s">
        <v>107</v>
      </c>
      <c r="C14" s="2" t="s">
        <v>101</v>
      </c>
      <c r="D14" s="2" t="s">
        <v>204</v>
      </c>
      <c r="E14" s="2" t="s">
        <v>205</v>
      </c>
      <c r="F14" s="2">
        <v>221</v>
      </c>
      <c r="G14" s="2">
        <v>0.89</v>
      </c>
      <c r="H14" s="2" t="s">
        <v>206</v>
      </c>
      <c r="I14" s="2">
        <v>32</v>
      </c>
      <c r="J14" s="2">
        <v>0.68</v>
      </c>
      <c r="K14" s="2" t="s">
        <v>207</v>
      </c>
      <c r="L14" s="2">
        <v>39</v>
      </c>
      <c r="M14" s="2">
        <v>8</v>
      </c>
      <c r="N14" s="2">
        <v>2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ht="14.25" customHeight="1">
      <c r="A15" s="2" t="s">
        <v>208</v>
      </c>
      <c r="B15" s="2" t="s">
        <v>107</v>
      </c>
      <c r="C15" s="2" t="s">
        <v>101</v>
      </c>
      <c r="D15" s="2" t="s">
        <v>209</v>
      </c>
      <c r="E15" s="2" t="s">
        <v>210</v>
      </c>
      <c r="F15" s="2">
        <v>427</v>
      </c>
      <c r="G15" s="2">
        <v>0.88</v>
      </c>
      <c r="H15" s="2" t="s">
        <v>211</v>
      </c>
      <c r="I15" s="2">
        <v>27</v>
      </c>
      <c r="J15" s="2">
        <v>0.66</v>
      </c>
      <c r="K15" s="2" t="s">
        <v>212</v>
      </c>
      <c r="L15" s="2">
        <v>38</v>
      </c>
      <c r="M15" s="2">
        <v>39</v>
      </c>
      <c r="N15" s="2">
        <v>8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ht="14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ht="14.25" customHeight="1">
      <c r="A17" s="2"/>
      <c r="B17" s="2"/>
      <c r="C17" s="2"/>
      <c r="D17" s="2"/>
      <c r="E17" s="2" t="s">
        <v>94</v>
      </c>
      <c r="F17" s="2"/>
      <c r="G17" s="2"/>
      <c r="H17" s="2" t="s">
        <v>95</v>
      </c>
      <c r="I17" s="2"/>
      <c r="J17" s="2"/>
      <c r="K17" s="2" t="s">
        <v>96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ht="14.25" customHeight="1">
      <c r="A18" s="27" t="s">
        <v>213</v>
      </c>
      <c r="B18" s="27" t="s">
        <v>214</v>
      </c>
      <c r="C18" s="27" t="s">
        <v>147</v>
      </c>
      <c r="D18" s="27" t="s">
        <v>215</v>
      </c>
      <c r="E18" s="27" t="s">
        <v>216</v>
      </c>
      <c r="F18" s="34">
        <v>184</v>
      </c>
      <c r="G18" s="34">
        <v>0.73</v>
      </c>
      <c r="H18" s="27" t="s">
        <v>217</v>
      </c>
      <c r="I18" s="27">
        <v>46</v>
      </c>
      <c r="J18" s="27">
        <v>0.63</v>
      </c>
      <c r="K18" s="27" t="s">
        <v>218</v>
      </c>
      <c r="L18" s="27">
        <v>36</v>
      </c>
      <c r="M18" s="27">
        <v>26</v>
      </c>
      <c r="N18" s="27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ht="14.25" customHeight="1">
      <c r="A19" s="27" t="s">
        <v>219</v>
      </c>
      <c r="B19" s="27" t="s">
        <v>220</v>
      </c>
      <c r="C19" s="27" t="s">
        <v>147</v>
      </c>
      <c r="D19" s="27" t="s">
        <v>221</v>
      </c>
      <c r="E19" s="27" t="s">
        <v>222</v>
      </c>
      <c r="F19" s="34">
        <v>540</v>
      </c>
      <c r="G19" s="34">
        <v>0.82</v>
      </c>
      <c r="H19" s="27" t="s">
        <v>223</v>
      </c>
      <c r="I19" s="27">
        <v>66</v>
      </c>
      <c r="J19" s="27">
        <v>0.57999999999999996</v>
      </c>
      <c r="K19" s="27" t="s">
        <v>224</v>
      </c>
      <c r="L19" s="27">
        <v>77</v>
      </c>
      <c r="M19" s="27">
        <v>33</v>
      </c>
      <c r="N19" s="27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ht="14.25" customHeight="1">
      <c r="A20" s="27" t="s">
        <v>225</v>
      </c>
      <c r="B20" s="27" t="s">
        <v>214</v>
      </c>
      <c r="C20" s="27" t="s">
        <v>147</v>
      </c>
      <c r="D20" s="27" t="s">
        <v>226</v>
      </c>
      <c r="E20" s="27" t="s">
        <v>227</v>
      </c>
      <c r="F20" s="34">
        <v>371</v>
      </c>
      <c r="G20" s="34">
        <v>0.73</v>
      </c>
      <c r="H20" s="27" t="s">
        <v>228</v>
      </c>
      <c r="I20" s="27">
        <v>92</v>
      </c>
      <c r="J20" s="27">
        <v>0.53</v>
      </c>
      <c r="K20" s="35" t="s">
        <v>229</v>
      </c>
      <c r="L20" s="27">
        <v>68</v>
      </c>
      <c r="M20" s="27">
        <v>19</v>
      </c>
      <c r="N20" s="27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ht="14.25" customHeight="1">
      <c r="A21" s="2"/>
      <c r="B21" s="2"/>
      <c r="C21" s="2"/>
      <c r="D21" s="2"/>
      <c r="E21" s="2" t="s">
        <v>230</v>
      </c>
      <c r="F21" s="2" t="s">
        <v>44</v>
      </c>
      <c r="G21" s="2" t="s">
        <v>231</v>
      </c>
      <c r="H21" s="2"/>
      <c r="I21" s="2"/>
      <c r="J21" s="2"/>
      <c r="K21" s="30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ht="14.25" customHeight="1">
      <c r="A22" s="2" t="s">
        <v>232</v>
      </c>
      <c r="B22" s="2" t="s">
        <v>122</v>
      </c>
      <c r="C22" s="2" t="s">
        <v>123</v>
      </c>
      <c r="D22" s="2" t="s">
        <v>132</v>
      </c>
      <c r="E22" s="2" t="s">
        <v>233</v>
      </c>
      <c r="F22" s="2">
        <v>29.35</v>
      </c>
      <c r="G22" s="2">
        <v>24</v>
      </c>
      <c r="H22" s="2">
        <v>1.66</v>
      </c>
      <c r="I22" s="2"/>
      <c r="J22" s="2"/>
      <c r="K22" s="30">
        <v>0.67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ht="14.25" customHeight="1">
      <c r="A23" s="2"/>
      <c r="B23" s="2"/>
      <c r="C23" s="2"/>
      <c r="D23" s="2"/>
      <c r="E23" s="31"/>
      <c r="F23" s="31"/>
      <c r="G23" s="31"/>
      <c r="H23" s="31"/>
      <c r="I23" s="31"/>
      <c r="J23" s="31"/>
      <c r="K23" s="3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ht="14.25" customHeight="1">
      <c r="A24" s="2"/>
      <c r="B24" s="2"/>
      <c r="C24" s="2"/>
      <c r="D24" s="2"/>
      <c r="E24" s="31" t="s">
        <v>125</v>
      </c>
      <c r="F24" s="31"/>
      <c r="G24" s="31"/>
      <c r="H24" s="31" t="s">
        <v>126</v>
      </c>
      <c r="I24" s="31"/>
      <c r="J24" s="31"/>
      <c r="K24" s="31" t="s">
        <v>127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ht="14.25" customHeight="1">
      <c r="A25" s="2" t="s">
        <v>234</v>
      </c>
      <c r="B25" s="2" t="s">
        <v>235</v>
      </c>
      <c r="C25" s="2" t="s">
        <v>131</v>
      </c>
      <c r="D25" s="2" t="s">
        <v>236</v>
      </c>
      <c r="E25" s="2" t="s">
        <v>237</v>
      </c>
      <c r="F25" s="2">
        <v>537</v>
      </c>
      <c r="G25" s="2">
        <v>0.88</v>
      </c>
      <c r="H25" s="2" t="s">
        <v>238</v>
      </c>
      <c r="I25" s="2">
        <v>14</v>
      </c>
      <c r="J25" s="2">
        <v>0.77</v>
      </c>
      <c r="K25" s="31" t="s">
        <v>239</v>
      </c>
      <c r="L25" s="2">
        <v>45</v>
      </c>
      <c r="M25" s="2">
        <v>0.69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ht="14.25" customHeight="1">
      <c r="A26" s="2" t="s">
        <v>240</v>
      </c>
      <c r="B26" s="2" t="s">
        <v>137</v>
      </c>
      <c r="C26" s="2" t="s">
        <v>131</v>
      </c>
      <c r="D26" s="2" t="s">
        <v>241</v>
      </c>
      <c r="E26" s="2" t="s">
        <v>242</v>
      </c>
      <c r="F26" s="2">
        <v>404</v>
      </c>
      <c r="G26" s="2">
        <v>0.87</v>
      </c>
      <c r="H26" s="2" t="s">
        <v>243</v>
      </c>
      <c r="I26" s="2">
        <v>19</v>
      </c>
      <c r="J26" s="2">
        <v>0.49</v>
      </c>
      <c r="K26" s="2" t="s">
        <v>244</v>
      </c>
      <c r="L26" s="2">
        <v>59</v>
      </c>
      <c r="M26" s="2">
        <v>0.81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ht="14.25" customHeight="1">
      <c r="A29" s="2"/>
      <c r="B29" s="2"/>
      <c r="C29" s="36">
        <f>COUNTIF($C$2:$C$26,"Center Back")</f>
        <v>4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1:30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1:30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1:30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1:30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spans="1:30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spans="1:30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spans="1:30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spans="1:30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spans="1:30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spans="1:30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spans="1:30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spans="1:30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spans="1:30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spans="1:3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spans="1:30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spans="1:30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spans="1:30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spans="1:30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spans="1:30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spans="1:30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spans="1:30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spans="1:30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spans="1:30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spans="1:3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spans="1:30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spans="1:30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spans="1:30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spans="1:30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spans="1:30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spans="1:30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spans="1:30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spans="1:30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spans="1:30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spans="1: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spans="1:30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spans="1:30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spans="1:30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spans="1:30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spans="1:30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spans="1:30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spans="1:30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spans="1:30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spans="1:30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spans="1:3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spans="1:30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spans="1:30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spans="1:30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spans="1:30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spans="1:30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spans="1:30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spans="1:30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spans="1:30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spans="1:30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spans="1:3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spans="1:30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spans="1:30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spans="1:30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spans="1:30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spans="1:30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spans="1:30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spans="1:30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spans="1:30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spans="1:30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spans="1:3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spans="1:30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spans="1:30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spans="1:30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spans="1:30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spans="1:30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spans="1:30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spans="1:30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spans="1:30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spans="1:30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spans="1:3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spans="1:30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spans="1:30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spans="1:30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spans="1:30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spans="1:30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spans="1:30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spans="1:30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spans="1:30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spans="1:30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spans="1:3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spans="1:30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spans="1:30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spans="1:30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spans="1:30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spans="1:30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spans="1:30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spans="1:30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spans="1:30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spans="1:30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spans="1:3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spans="1:30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spans="1:30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spans="1:30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spans="1:30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spans="1:30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spans="1:30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spans="1:30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spans="1:30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spans="1:30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spans="1:3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spans="1:30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spans="1:30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spans="1:30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spans="1:30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spans="1:30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spans="1:30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spans="1:30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spans="1:30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spans="1:30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spans="1:3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spans="1:30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spans="1:30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spans="1:30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spans="1:30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spans="1:30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spans="1:30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spans="1:30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spans="1:30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spans="1:30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spans="1:3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spans="1:30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spans="1:30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spans="1:30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spans="1:30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spans="1:30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spans="1:30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spans="1:30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spans="1:30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spans="1:30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spans="1: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spans="1:30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spans="1:30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spans="1:30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spans="1:30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spans="1:30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spans="1:30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spans="1:30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spans="1:30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spans="1:30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spans="1:3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spans="1:30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spans="1:30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spans="1:30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spans="1:30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spans="1:30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spans="1:30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spans="1:30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spans="1:30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spans="1:30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spans="1:3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spans="1:30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spans="1:30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spans="1:30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spans="1:30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spans="1:30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spans="1:30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spans="1:30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spans="1:30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spans="1:30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spans="1:3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spans="1:30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spans="1:30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spans="1:30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spans="1:30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spans="1:30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spans="1:30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spans="1:30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spans="1:30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spans="1:30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spans="1:3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spans="1:30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spans="1:30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spans="1:30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spans="1:30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spans="1:30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spans="1:30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spans="1:30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spans="1:30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spans="1:30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spans="1:3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spans="1:30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spans="1:30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spans="1:30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spans="1:30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spans="1:30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spans="1:30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spans="1:30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spans="1:30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spans="1:30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spans="1:3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spans="1:30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spans="1:30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spans="1:30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spans="1:30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spans="1:30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spans="1:30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spans="1:30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spans="1:30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spans="1:30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spans="1:3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spans="1:30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spans="1:30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spans="1:30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spans="1:30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spans="1:30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spans="1:30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spans="1:30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spans="1:30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spans="1:30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spans="1:3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spans="1:30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spans="1:30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spans="1:30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spans="1:30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spans="1:30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spans="1:30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spans="1:30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spans="1:30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spans="1:30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spans="1:3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spans="1:30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spans="1:30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spans="1:30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spans="1:30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spans="1:30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spans="1:30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spans="1:30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spans="1:30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spans="1:30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spans="1: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spans="1:30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spans="1:30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spans="1:30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spans="1:30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spans="1:30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spans="1:30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spans="1:30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spans="1:30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spans="1:30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spans="1:3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spans="1:30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spans="1:30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spans="1:30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spans="1:30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spans="1:30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spans="1:30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spans="1:30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spans="1:30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spans="1:30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spans="1:3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spans="1:30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spans="1:30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spans="1:30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spans="1:30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spans="1:30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spans="1:30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spans="1:30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spans="1:30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spans="1:30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spans="1:3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spans="1:30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spans="1:30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spans="1:30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spans="1:30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spans="1:30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spans="1:30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spans="1:30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spans="1:30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spans="1:30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spans="1:3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spans="1:30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spans="1:30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spans="1:30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spans="1:30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spans="1:30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spans="1:30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spans="1:30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spans="1:30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spans="1:30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spans="1:3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spans="1:30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spans="1:30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spans="1:30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spans="1:30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spans="1:30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spans="1:30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spans="1:30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spans="1:30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spans="1:30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spans="1:3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spans="1:30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spans="1:30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spans="1:30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spans="1:30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spans="1:30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spans="1:30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spans="1:30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spans="1:30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spans="1:30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spans="1:3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spans="1:30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spans="1:30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spans="1:30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spans="1:30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spans="1:30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spans="1:30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spans="1:30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spans="1:30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spans="1:30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spans="1:3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spans="1:30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spans="1:30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spans="1:30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spans="1:30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spans="1:30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spans="1:30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spans="1:30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spans="1:30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spans="1:30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spans="1:3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spans="1:30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spans="1:30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spans="1:30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spans="1:30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spans="1:30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spans="1:30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spans="1:30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spans="1:30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spans="1:30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spans="1: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spans="1:30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spans="1:30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spans="1:30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spans="1:30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spans="1:30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spans="1:30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spans="1:30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spans="1:30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spans="1:30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spans="1:3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spans="1:30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spans="1:30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spans="1:30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spans="1:30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spans="1:30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spans="1:30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spans="1:30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spans="1:30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spans="1:30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spans="1:3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spans="1:30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spans="1:30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spans="1:30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spans="1:30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spans="1:30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spans="1:30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spans="1:30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spans="1:30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spans="1:30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spans="1:3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spans="1:30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spans="1:30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spans="1:30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spans="1:30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spans="1:30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spans="1:30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spans="1:30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spans="1:30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spans="1:30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spans="1:3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spans="1:30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spans="1:30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spans="1:30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spans="1:30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spans="1:30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spans="1:30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spans="1:30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spans="1:30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spans="1:30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spans="1:3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spans="1:30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spans="1:30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spans="1:30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spans="1:30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spans="1:30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spans="1:30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spans="1:30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spans="1:30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spans="1:30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spans="1:3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spans="1:30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spans="1:30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spans="1:30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spans="1:30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spans="1:30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spans="1:30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spans="1:30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spans="1:30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spans="1:30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spans="1:3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spans="1:30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spans="1:30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spans="1:30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spans="1:30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spans="1:30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spans="1:30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spans="1:30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spans="1:30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spans="1:30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spans="1:3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spans="1:30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spans="1:30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spans="1:30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spans="1:30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spans="1:30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spans="1:30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spans="1:30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spans="1:30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spans="1:30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spans="1:3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spans="1:30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spans="1:30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spans="1:30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spans="1:30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spans="1:30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spans="1:30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spans="1:30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spans="1:30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spans="1:30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spans="1: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spans="1:30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spans="1:30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spans="1:30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spans="1:30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spans="1:30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spans="1:30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spans="1:30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spans="1:30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spans="1:30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spans="1:3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spans="1:30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spans="1:30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spans="1:30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spans="1:30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spans="1:30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spans="1:30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spans="1:30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spans="1:30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spans="1:30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spans="1:3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spans="1:30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spans="1:30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spans="1:30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spans="1:30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spans="1:30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spans="1:30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spans="1:30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spans="1:30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spans="1:30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spans="1:3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spans="1:30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spans="1:30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spans="1:30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spans="1:30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spans="1:30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spans="1:30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spans="1:30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spans="1:30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spans="1:30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spans="1:3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spans="1:30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spans="1:30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spans="1:30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spans="1:30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spans="1:30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spans="1:30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spans="1:30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spans="1:30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spans="1:30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spans="1:3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spans="1:30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spans="1:30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spans="1:30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spans="1:30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spans="1:30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spans="1:30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spans="1:30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spans="1:30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spans="1:30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spans="1:3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spans="1:30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spans="1:30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spans="1:30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spans="1:30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spans="1:30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spans="1:30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spans="1:30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spans="1:30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spans="1:30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spans="1:3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 spans="1:30" ht="14.2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 spans="1:30" ht="14.2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 spans="1:30" ht="14.2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 spans="1:30" ht="14.2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 spans="1:30" ht="14.2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 spans="1:30" ht="14.2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 spans="1:30" ht="14.2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 spans="1:30" ht="14.2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 spans="1:30" ht="14.2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 spans="1:30" ht="14.2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 spans="1:30" ht="14.2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</sheetData>
  <mergeCells count="1">
    <mergeCell ref="E1:K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008"/>
  <sheetViews>
    <sheetView workbookViewId="0"/>
  </sheetViews>
  <sheetFormatPr defaultColWidth="14.453125" defaultRowHeight="15" customHeight="1"/>
  <cols>
    <col min="1" max="1" width="18.26953125" customWidth="1"/>
    <col min="2" max="2" width="17.26953125" customWidth="1"/>
    <col min="3" max="3" width="30.08984375" customWidth="1"/>
    <col min="4" max="4" width="22" customWidth="1"/>
    <col min="5" max="5" width="26.54296875" customWidth="1"/>
    <col min="6" max="6" width="5.81640625" customWidth="1"/>
    <col min="7" max="7" width="4.81640625" customWidth="1"/>
    <col min="8" max="8" width="32.7265625" customWidth="1"/>
    <col min="9" max="9" width="17.54296875" customWidth="1"/>
    <col min="10" max="10" width="9.7265625" customWidth="1"/>
    <col min="11" max="11" width="32.54296875" customWidth="1"/>
    <col min="12" max="12" width="4.26953125" customWidth="1"/>
    <col min="13" max="13" width="32.54296875" customWidth="1"/>
    <col min="14" max="14" width="19" customWidth="1"/>
    <col min="15" max="15" width="21.08984375" customWidth="1"/>
    <col min="16" max="16" width="24.81640625" customWidth="1"/>
    <col min="17" max="33" width="8.7265625" customWidth="1"/>
  </cols>
  <sheetData>
    <row r="1" spans="1:33" ht="14.25" customHeight="1">
      <c r="A1" s="1" t="s">
        <v>37</v>
      </c>
      <c r="B1" s="1" t="s">
        <v>38</v>
      </c>
      <c r="C1" s="1" t="s">
        <v>39</v>
      </c>
      <c r="D1" s="1" t="s">
        <v>40</v>
      </c>
      <c r="E1" s="49" t="s">
        <v>41</v>
      </c>
      <c r="F1" s="46"/>
      <c r="G1" s="46"/>
      <c r="H1" s="46"/>
      <c r="I1" s="46"/>
      <c r="J1" s="46"/>
      <c r="K1" s="46"/>
      <c r="L1" s="33"/>
      <c r="M1" s="33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 ht="14.25" customHeight="1">
      <c r="A2" s="2"/>
      <c r="B2" s="2"/>
      <c r="C2" s="2"/>
      <c r="D2" s="2"/>
      <c r="E2" s="31" t="s">
        <v>42</v>
      </c>
      <c r="F2" s="31"/>
      <c r="G2" s="31"/>
      <c r="H2" s="2" t="s">
        <v>6</v>
      </c>
      <c r="I2" s="2"/>
      <c r="J2" s="2"/>
      <c r="K2" s="2" t="s">
        <v>45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33" ht="14.25" customHeight="1">
      <c r="A3" s="2" t="s">
        <v>245</v>
      </c>
      <c r="B3" s="2" t="s">
        <v>47</v>
      </c>
      <c r="C3" s="2" t="s">
        <v>3</v>
      </c>
      <c r="D3" s="2" t="s">
        <v>246</v>
      </c>
      <c r="E3" s="2" t="s">
        <v>247</v>
      </c>
      <c r="F3" s="2">
        <v>12</v>
      </c>
      <c r="G3" s="2">
        <v>9.06</v>
      </c>
      <c r="H3" s="2">
        <v>11</v>
      </c>
      <c r="I3" s="2"/>
      <c r="J3" s="2"/>
      <c r="K3" s="2" t="s">
        <v>248</v>
      </c>
      <c r="L3" s="2">
        <v>58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4.2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1:33" ht="14.25" customHeight="1">
      <c r="A5" s="2"/>
      <c r="B5" s="2"/>
      <c r="C5" s="2"/>
      <c r="D5" s="2"/>
      <c r="E5" s="2" t="s">
        <v>94</v>
      </c>
      <c r="F5" s="2"/>
      <c r="G5" s="2"/>
      <c r="H5" s="2" t="s">
        <v>95</v>
      </c>
      <c r="I5" s="2"/>
      <c r="J5" s="2"/>
      <c r="K5" s="2" t="s">
        <v>96</v>
      </c>
      <c r="L5" s="2"/>
      <c r="M5" s="2"/>
      <c r="N5" s="2" t="s">
        <v>31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4.25" customHeight="1">
      <c r="A6" s="2" t="s">
        <v>249</v>
      </c>
      <c r="B6" s="2" t="s">
        <v>113</v>
      </c>
      <c r="C6" s="2" t="s">
        <v>101</v>
      </c>
      <c r="D6" s="2" t="s">
        <v>250</v>
      </c>
      <c r="E6" s="2" t="s">
        <v>251</v>
      </c>
      <c r="F6" s="2">
        <v>1228</v>
      </c>
      <c r="G6" s="2">
        <v>0.9</v>
      </c>
      <c r="H6" s="2" t="s">
        <v>252</v>
      </c>
      <c r="I6" s="2">
        <v>55</v>
      </c>
      <c r="J6" s="2">
        <v>0.63</v>
      </c>
      <c r="K6" s="2" t="s">
        <v>253</v>
      </c>
      <c r="L6" s="2">
        <v>101</v>
      </c>
      <c r="M6" s="2">
        <v>87</v>
      </c>
      <c r="N6" s="2">
        <v>15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spans="1:33" ht="14.25" customHeight="1">
      <c r="A7" s="2" t="s">
        <v>254</v>
      </c>
      <c r="B7" s="2" t="s">
        <v>220</v>
      </c>
      <c r="C7" s="2" t="s">
        <v>255</v>
      </c>
      <c r="D7" s="2" t="s">
        <v>256</v>
      </c>
      <c r="E7" s="2" t="s">
        <v>257</v>
      </c>
      <c r="F7" s="2">
        <v>945</v>
      </c>
      <c r="G7" s="2">
        <v>0.85</v>
      </c>
      <c r="H7" s="2" t="s">
        <v>258</v>
      </c>
      <c r="I7" s="2">
        <v>90</v>
      </c>
      <c r="J7" s="2">
        <v>0.64</v>
      </c>
      <c r="K7" s="2" t="s">
        <v>259</v>
      </c>
      <c r="L7" s="2">
        <v>97</v>
      </c>
      <c r="M7" s="2">
        <v>44</v>
      </c>
      <c r="N7" s="2">
        <v>9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spans="1:33" ht="14.25" customHeight="1">
      <c r="A8" s="2" t="s">
        <v>260</v>
      </c>
      <c r="B8" s="2" t="s">
        <v>107</v>
      </c>
      <c r="C8" s="2" t="s">
        <v>101</v>
      </c>
      <c r="D8" s="2" t="s">
        <v>261</v>
      </c>
      <c r="E8" s="2" t="s">
        <v>262</v>
      </c>
      <c r="F8" s="2">
        <v>1205</v>
      </c>
      <c r="G8" s="2">
        <v>0.9</v>
      </c>
      <c r="H8" s="2" t="s">
        <v>263</v>
      </c>
      <c r="I8" s="2">
        <v>82</v>
      </c>
      <c r="J8" s="2">
        <v>0.68</v>
      </c>
      <c r="K8" s="2" t="s">
        <v>264</v>
      </c>
      <c r="L8" s="2">
        <v>133</v>
      </c>
      <c r="M8" s="2">
        <v>79</v>
      </c>
      <c r="N8" s="2">
        <v>26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spans="1:33" ht="14.25" customHeight="1">
      <c r="A9" s="2" t="s">
        <v>265</v>
      </c>
      <c r="B9" s="2" t="s">
        <v>214</v>
      </c>
      <c r="C9" s="2" t="s">
        <v>255</v>
      </c>
      <c r="D9" s="2" t="s">
        <v>246</v>
      </c>
      <c r="E9" s="2" t="s">
        <v>266</v>
      </c>
      <c r="F9" s="2">
        <v>415</v>
      </c>
      <c r="G9" s="2">
        <v>0.77</v>
      </c>
      <c r="H9" s="2" t="s">
        <v>267</v>
      </c>
      <c r="I9" s="2">
        <v>55</v>
      </c>
      <c r="J9" s="2">
        <v>0.59</v>
      </c>
      <c r="K9" s="2" t="s">
        <v>268</v>
      </c>
      <c r="L9" s="2">
        <v>45</v>
      </c>
      <c r="M9" s="2">
        <v>13</v>
      </c>
      <c r="N9" s="2">
        <v>4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spans="1:33" ht="14.25" customHeight="1">
      <c r="A10" s="2" t="s">
        <v>269</v>
      </c>
      <c r="B10" s="2" t="s">
        <v>113</v>
      </c>
      <c r="C10" s="2" t="s">
        <v>101</v>
      </c>
      <c r="D10" s="2" t="s">
        <v>70</v>
      </c>
      <c r="E10" s="2" t="s">
        <v>270</v>
      </c>
      <c r="F10" s="2">
        <v>465</v>
      </c>
      <c r="G10" s="2">
        <v>0.92</v>
      </c>
      <c r="H10" s="2" t="s">
        <v>271</v>
      </c>
      <c r="I10" s="2">
        <v>27</v>
      </c>
      <c r="J10" s="2">
        <v>0.63</v>
      </c>
      <c r="K10" s="2" t="s">
        <v>272</v>
      </c>
      <c r="L10" s="2">
        <v>27</v>
      </c>
      <c r="M10" s="2">
        <v>14</v>
      </c>
      <c r="N10" s="2">
        <v>4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spans="1:33" ht="14.25" customHeight="1">
      <c r="A11" s="2" t="s">
        <v>273</v>
      </c>
      <c r="B11" s="2" t="s">
        <v>214</v>
      </c>
      <c r="C11" s="2" t="s">
        <v>255</v>
      </c>
      <c r="D11" s="2" t="s">
        <v>138</v>
      </c>
      <c r="E11" s="2" t="s">
        <v>274</v>
      </c>
      <c r="F11" s="2">
        <v>334</v>
      </c>
      <c r="G11" s="2">
        <v>0.83</v>
      </c>
      <c r="H11" s="2" t="s">
        <v>275</v>
      </c>
      <c r="I11" s="2">
        <v>49</v>
      </c>
      <c r="J11" s="2">
        <v>0.65</v>
      </c>
      <c r="K11" s="2" t="s">
        <v>276</v>
      </c>
      <c r="L11" s="2">
        <v>44</v>
      </c>
      <c r="M11" s="2">
        <v>21</v>
      </c>
      <c r="N11" s="2">
        <v>1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spans="1:33" ht="14.25" customHeight="1">
      <c r="A12" s="2" t="s">
        <v>277</v>
      </c>
      <c r="B12" s="2" t="s">
        <v>220</v>
      </c>
      <c r="C12" s="2" t="s">
        <v>255</v>
      </c>
      <c r="D12" s="2" t="s">
        <v>278</v>
      </c>
      <c r="E12" s="2" t="s">
        <v>279</v>
      </c>
      <c r="F12" s="2">
        <v>203</v>
      </c>
      <c r="G12" s="2">
        <v>0.86</v>
      </c>
      <c r="H12" s="2" t="s">
        <v>280</v>
      </c>
      <c r="I12" s="2">
        <v>26</v>
      </c>
      <c r="J12" s="2">
        <v>0.65</v>
      </c>
      <c r="K12" s="2" t="s">
        <v>281</v>
      </c>
      <c r="L12" s="2">
        <v>15</v>
      </c>
      <c r="M12" s="2">
        <v>10</v>
      </c>
      <c r="N12" s="2">
        <v>1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3" ht="14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spans="1:33" ht="14.25" customHeight="1">
      <c r="A14" s="2"/>
      <c r="B14" s="2"/>
      <c r="C14" s="2"/>
      <c r="D14" s="2"/>
      <c r="E14" s="2" t="s">
        <v>118</v>
      </c>
      <c r="F14" s="2"/>
      <c r="G14" s="2"/>
      <c r="H14" s="2" t="s">
        <v>35</v>
      </c>
      <c r="I14" s="2"/>
      <c r="J14" s="2"/>
      <c r="K14" s="2" t="s">
        <v>120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spans="1:33" ht="14.25" customHeight="1">
      <c r="A15" s="2" t="s">
        <v>282</v>
      </c>
      <c r="B15" s="2" t="s">
        <v>122</v>
      </c>
      <c r="C15" s="2" t="s">
        <v>123</v>
      </c>
      <c r="D15" s="2" t="s">
        <v>114</v>
      </c>
      <c r="E15" s="2" t="s">
        <v>283</v>
      </c>
      <c r="F15" s="2">
        <v>23.37</v>
      </c>
      <c r="G15" s="2">
        <v>23</v>
      </c>
      <c r="H15" s="2">
        <v>0.96</v>
      </c>
      <c r="I15" s="2"/>
      <c r="J15" s="2"/>
      <c r="K15" s="30">
        <v>0.74</v>
      </c>
      <c r="L15" s="30"/>
      <c r="M15" s="30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spans="1:33" ht="14.25" customHeight="1">
      <c r="A16" s="2"/>
      <c r="B16" s="2"/>
      <c r="C16" s="2"/>
      <c r="D16" s="2"/>
      <c r="E16" s="31"/>
      <c r="F16" s="31"/>
      <c r="G16" s="31"/>
      <c r="H16" s="31"/>
      <c r="I16" s="31"/>
      <c r="J16" s="31"/>
      <c r="K16" s="31"/>
      <c r="L16" s="31"/>
      <c r="M16" s="31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spans="1:33" ht="14.25" customHeight="1">
      <c r="A17" s="2"/>
      <c r="B17" s="2"/>
      <c r="C17" s="2"/>
      <c r="D17" s="2"/>
      <c r="E17" s="31" t="s">
        <v>125</v>
      </c>
      <c r="F17" s="31"/>
      <c r="G17" s="31"/>
      <c r="H17" s="31" t="s">
        <v>126</v>
      </c>
      <c r="I17" s="31"/>
      <c r="J17" s="31"/>
      <c r="K17" s="31" t="s">
        <v>127</v>
      </c>
      <c r="L17" s="31"/>
      <c r="M17" s="31"/>
      <c r="N17" s="2" t="s">
        <v>15</v>
      </c>
      <c r="O17" s="2" t="s">
        <v>6</v>
      </c>
      <c r="P17" s="2" t="s">
        <v>45</v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spans="1:33" ht="14.25" customHeight="1">
      <c r="A18" s="2" t="s">
        <v>284</v>
      </c>
      <c r="B18" s="2" t="s">
        <v>285</v>
      </c>
      <c r="C18" s="2" t="s">
        <v>131</v>
      </c>
      <c r="D18" s="2" t="s">
        <v>286</v>
      </c>
      <c r="E18" s="2" t="s">
        <v>287</v>
      </c>
      <c r="F18" s="2">
        <v>884</v>
      </c>
      <c r="G18" s="2">
        <v>0.8</v>
      </c>
      <c r="H18" s="2" t="s">
        <v>288</v>
      </c>
      <c r="I18" s="2">
        <v>25</v>
      </c>
      <c r="J18" s="2">
        <v>0.4</v>
      </c>
      <c r="K18" s="2" t="s">
        <v>289</v>
      </c>
      <c r="L18" s="2">
        <v>109</v>
      </c>
      <c r="M18" s="2">
        <v>0.83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spans="1:33" ht="14.25" customHeight="1">
      <c r="A19" s="2" t="s">
        <v>290</v>
      </c>
      <c r="B19" s="2" t="s">
        <v>291</v>
      </c>
      <c r="C19" s="2" t="s">
        <v>131</v>
      </c>
      <c r="D19" s="2" t="s">
        <v>292</v>
      </c>
      <c r="E19" s="2" t="s">
        <v>293</v>
      </c>
      <c r="F19" s="2">
        <v>803</v>
      </c>
      <c r="G19" s="2">
        <v>0.87</v>
      </c>
      <c r="H19" s="2" t="s">
        <v>294</v>
      </c>
      <c r="I19" s="2">
        <v>19</v>
      </c>
      <c r="J19" s="2">
        <v>0.35</v>
      </c>
      <c r="K19" s="2" t="s">
        <v>295</v>
      </c>
      <c r="L19" s="2">
        <v>86</v>
      </c>
      <c r="M19" s="2">
        <v>0.72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spans="1:33" ht="14.25" customHeight="1">
      <c r="A20" s="2" t="s">
        <v>296</v>
      </c>
      <c r="B20" s="2" t="s">
        <v>297</v>
      </c>
      <c r="C20" s="2" t="s">
        <v>298</v>
      </c>
      <c r="D20" s="2" t="s">
        <v>299</v>
      </c>
      <c r="E20" s="2" t="s">
        <v>300</v>
      </c>
      <c r="F20" s="2">
        <v>505</v>
      </c>
      <c r="G20" s="2">
        <v>0.75</v>
      </c>
      <c r="H20" s="2" t="s">
        <v>301</v>
      </c>
      <c r="I20" s="2">
        <v>11</v>
      </c>
      <c r="J20" s="2">
        <v>0.28000000000000003</v>
      </c>
      <c r="K20" s="2" t="s">
        <v>302</v>
      </c>
      <c r="L20" s="2">
        <v>103</v>
      </c>
      <c r="M20" s="2">
        <v>0.85</v>
      </c>
      <c r="N20" s="2">
        <v>12</v>
      </c>
      <c r="O20" s="2">
        <v>29</v>
      </c>
      <c r="P20" s="2" t="s">
        <v>303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spans="1:33" ht="14.25" customHeight="1">
      <c r="A21" s="2" t="s">
        <v>304</v>
      </c>
      <c r="B21" s="2" t="s">
        <v>305</v>
      </c>
      <c r="C21" s="2" t="s">
        <v>298</v>
      </c>
      <c r="D21" s="2" t="s">
        <v>226</v>
      </c>
      <c r="E21" s="2" t="s">
        <v>306</v>
      </c>
      <c r="F21" s="2">
        <v>502</v>
      </c>
      <c r="G21" s="2">
        <v>0.76</v>
      </c>
      <c r="H21" s="2" t="s">
        <v>307</v>
      </c>
      <c r="I21" s="2">
        <v>18</v>
      </c>
      <c r="J21" s="2">
        <v>0.38</v>
      </c>
      <c r="K21" s="2" t="s">
        <v>308</v>
      </c>
      <c r="L21" s="2">
        <v>73</v>
      </c>
      <c r="M21" s="2">
        <v>0.92</v>
      </c>
      <c r="N21" s="2">
        <v>7</v>
      </c>
      <c r="O21" s="2">
        <v>10</v>
      </c>
      <c r="P21" s="2" t="s">
        <v>309</v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spans="1:33" ht="14.25" customHeight="1">
      <c r="A22" s="2" t="s">
        <v>310</v>
      </c>
      <c r="B22" s="2" t="s">
        <v>191</v>
      </c>
      <c r="C22" s="2" t="s">
        <v>298</v>
      </c>
      <c r="D22" s="2" t="s">
        <v>246</v>
      </c>
      <c r="E22" s="2" t="s">
        <v>311</v>
      </c>
      <c r="F22" s="2">
        <v>518</v>
      </c>
      <c r="G22" s="2">
        <v>0.84</v>
      </c>
      <c r="H22" s="2" t="s">
        <v>312</v>
      </c>
      <c r="I22" s="2">
        <v>18</v>
      </c>
      <c r="J22" s="2">
        <v>0.35</v>
      </c>
      <c r="K22" s="2" t="s">
        <v>313</v>
      </c>
      <c r="L22" s="2">
        <v>38</v>
      </c>
      <c r="M22" s="2">
        <v>0.7</v>
      </c>
      <c r="N22" s="2">
        <v>8</v>
      </c>
      <c r="O22" s="2">
        <v>4</v>
      </c>
      <c r="P22" s="2" t="s">
        <v>314</v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spans="1:33" ht="14.25" customHeight="1">
      <c r="A23" s="2" t="s">
        <v>315</v>
      </c>
      <c r="B23" s="2" t="s">
        <v>305</v>
      </c>
      <c r="C23" s="2" t="s">
        <v>298</v>
      </c>
      <c r="D23" s="2" t="s">
        <v>316</v>
      </c>
      <c r="E23" s="2" t="s">
        <v>317</v>
      </c>
      <c r="F23" s="2">
        <v>338</v>
      </c>
      <c r="G23" s="2">
        <v>0.66</v>
      </c>
      <c r="H23" s="2" t="s">
        <v>318</v>
      </c>
      <c r="I23" s="2">
        <v>21</v>
      </c>
      <c r="J23" s="2">
        <v>0.51</v>
      </c>
      <c r="K23" s="2" t="s">
        <v>319</v>
      </c>
      <c r="L23" s="2">
        <v>40</v>
      </c>
      <c r="M23" s="2">
        <v>0.77</v>
      </c>
      <c r="N23" s="2">
        <v>1</v>
      </c>
      <c r="O23" s="2">
        <v>6</v>
      </c>
      <c r="P23" s="2" t="s">
        <v>320</v>
      </c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spans="1:33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spans="1:33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spans="1:33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spans="1:33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spans="1:33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spans="1:33" ht="14.25" customHeight="1">
      <c r="A29" s="2"/>
      <c r="B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 spans="1:33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 spans="1:33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 spans="1:33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spans="1: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spans="1:33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 spans="1:33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 spans="1:33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 spans="1:33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 spans="1:33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 spans="1:33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 spans="1:33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spans="1:33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 spans="1:33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spans="1:3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 spans="1:33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spans="1:33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 spans="1:33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 spans="1:33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 spans="1:33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spans="1:33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spans="1:33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spans="1:33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 spans="1:33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 spans="1:3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 spans="1:33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 spans="1:33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 spans="1:33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 spans="1:33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 spans="1:33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 spans="1:33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 spans="1:33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spans="1:33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spans="1:33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 spans="1:3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 spans="1:33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 spans="1:33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 spans="1:33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 spans="1:33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 spans="1:33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 spans="1:33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 spans="1:33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 spans="1:33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 spans="1:33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 spans="1:3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 spans="1:33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 spans="1:33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 spans="1:33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 spans="1:33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 spans="1:33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 spans="1:33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 spans="1:33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 spans="1:33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 spans="1:33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 spans="1:3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 spans="1:33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 spans="1:33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 spans="1:33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 spans="1:33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 spans="1:33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 spans="1:33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 spans="1:33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 spans="1:33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 spans="1:33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 spans="1:3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 spans="1:33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 spans="1:33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 spans="1:33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 spans="1:33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 spans="1:33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 spans="1:33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 spans="1:33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 spans="1:33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 spans="1:33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 spans="1:3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 spans="1:33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 spans="1:33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 spans="1:33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 spans="1:33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 spans="1:33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 spans="1:33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 spans="1:33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 spans="1:33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 spans="1:33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 spans="1:3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 spans="1:33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 spans="1:33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 spans="1:33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 spans="1:33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 spans="1:33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 spans="1:33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 spans="1:33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 spans="1:33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r="122" spans="1:33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 spans="1:3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 spans="1:33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 spans="1:33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 spans="1:33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 spans="1:33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 spans="1:33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r="129" spans="1:33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 spans="1:33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 spans="1:33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 spans="1:33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r="133" spans="1: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</row>
    <row r="134" spans="1:33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 spans="1:33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 spans="1:33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 spans="1:33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 spans="1:33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 spans="1:33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 spans="1:33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 spans="1:33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r="142" spans="1:33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 spans="1:3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 spans="1:33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r="145" spans="1:33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r="146" spans="1:33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  <row r="147" spans="1:33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r="148" spans="1:33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 spans="1:33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 spans="1:33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r="151" spans="1:33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r="152" spans="1:33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r="153" spans="1:3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</row>
    <row r="154" spans="1:33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</row>
    <row r="155" spans="1:33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</row>
    <row r="156" spans="1:33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</row>
    <row r="157" spans="1:33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</row>
    <row r="158" spans="1:33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</row>
    <row r="159" spans="1:33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</row>
    <row r="160" spans="1:33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r="161" spans="1:33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r="162" spans="1:33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</row>
    <row r="163" spans="1:3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r="164" spans="1:33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</row>
    <row r="165" spans="1:33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</row>
    <row r="166" spans="1:33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r="167" spans="1:33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</row>
    <row r="168" spans="1:33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r="169" spans="1:33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r="170" spans="1:33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 spans="1:33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 spans="1:33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 spans="1:3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 spans="1:33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 spans="1:33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r="176" spans="1:33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</row>
    <row r="177" spans="1:33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 spans="1:33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spans="1:33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 spans="1:33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 spans="1:33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 spans="1:33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 spans="1:3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 spans="1:33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 spans="1:33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 spans="1:33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 spans="1:33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r="188" spans="1:33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  <row r="189" spans="1:33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</row>
    <row r="190" spans="1:33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</row>
    <row r="191" spans="1:33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</row>
    <row r="192" spans="1:33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</row>
    <row r="193" spans="1:3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</row>
    <row r="194" spans="1:33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</row>
    <row r="195" spans="1:33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</row>
    <row r="196" spans="1:33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</row>
    <row r="197" spans="1:33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</row>
    <row r="198" spans="1:33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</row>
    <row r="199" spans="1:33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</row>
    <row r="200" spans="1:33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</row>
    <row r="201" spans="1:33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</row>
    <row r="202" spans="1:33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</row>
    <row r="203" spans="1:3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</row>
    <row r="204" spans="1:33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</row>
    <row r="205" spans="1:33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</row>
    <row r="206" spans="1:33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</row>
    <row r="207" spans="1:33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</row>
    <row r="208" spans="1:33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</row>
    <row r="209" spans="1:33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</row>
    <row r="210" spans="1:33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</row>
    <row r="211" spans="1:33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</row>
    <row r="212" spans="1:33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</row>
    <row r="213" spans="1:3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</row>
    <row r="214" spans="1:33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</row>
    <row r="215" spans="1:33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</row>
    <row r="216" spans="1:33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</row>
    <row r="217" spans="1:33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</row>
    <row r="218" spans="1:33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</row>
    <row r="219" spans="1:33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</row>
    <row r="220" spans="1:33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</row>
    <row r="221" spans="1:33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</row>
    <row r="222" spans="1:33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</row>
    <row r="223" spans="1:3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</row>
    <row r="224" spans="1:33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</row>
    <row r="225" spans="1:33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</row>
    <row r="226" spans="1:33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</row>
    <row r="227" spans="1:33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</row>
    <row r="228" spans="1:33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</row>
    <row r="229" spans="1:33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</row>
    <row r="230" spans="1:33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</row>
    <row r="231" spans="1:33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</row>
    <row r="232" spans="1:33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</row>
    <row r="233" spans="1: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</row>
    <row r="234" spans="1:33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</row>
    <row r="235" spans="1:33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</row>
    <row r="236" spans="1:33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</row>
    <row r="237" spans="1:33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</row>
    <row r="238" spans="1:33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</row>
    <row r="239" spans="1:33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</row>
    <row r="240" spans="1:33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</row>
    <row r="241" spans="1:33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</row>
    <row r="242" spans="1:33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</row>
    <row r="243" spans="1:3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</row>
    <row r="244" spans="1:33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</row>
    <row r="245" spans="1:33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</row>
    <row r="246" spans="1:33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</row>
    <row r="247" spans="1:33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</row>
    <row r="248" spans="1:33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</row>
    <row r="249" spans="1:33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</row>
    <row r="250" spans="1:33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</row>
    <row r="251" spans="1:33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</row>
    <row r="252" spans="1:33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</row>
    <row r="253" spans="1:3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</row>
    <row r="254" spans="1:33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</row>
    <row r="255" spans="1:33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</row>
    <row r="256" spans="1:33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</row>
    <row r="257" spans="1:33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</row>
    <row r="258" spans="1:33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</row>
    <row r="259" spans="1:33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</row>
    <row r="260" spans="1:33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</row>
    <row r="261" spans="1:33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</row>
    <row r="262" spans="1:33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</row>
    <row r="263" spans="1:3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</row>
    <row r="264" spans="1:33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</row>
    <row r="265" spans="1:33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</row>
    <row r="266" spans="1:33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</row>
    <row r="267" spans="1:33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</row>
    <row r="268" spans="1:33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</row>
    <row r="269" spans="1:33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</row>
    <row r="270" spans="1:33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</row>
    <row r="271" spans="1:33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</row>
    <row r="272" spans="1:33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</row>
    <row r="273" spans="1:3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</row>
    <row r="274" spans="1:33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</row>
    <row r="275" spans="1:33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</row>
    <row r="276" spans="1:33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</row>
    <row r="277" spans="1:33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</row>
    <row r="278" spans="1:33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</row>
    <row r="279" spans="1:33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</row>
    <row r="280" spans="1:33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</row>
    <row r="281" spans="1:33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</row>
    <row r="282" spans="1:33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</row>
    <row r="283" spans="1:3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</row>
    <row r="284" spans="1:33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</row>
    <row r="285" spans="1:33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</row>
    <row r="286" spans="1:33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</row>
    <row r="287" spans="1:33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</row>
    <row r="288" spans="1:33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</row>
    <row r="289" spans="1:33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</row>
    <row r="290" spans="1:33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</row>
    <row r="291" spans="1:33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</row>
    <row r="292" spans="1:33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</row>
    <row r="293" spans="1:3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</row>
    <row r="294" spans="1:33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</row>
    <row r="295" spans="1:33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</row>
    <row r="296" spans="1:33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</row>
    <row r="297" spans="1:33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</row>
    <row r="298" spans="1:33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</row>
    <row r="299" spans="1:33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</row>
    <row r="300" spans="1:33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</row>
    <row r="301" spans="1:33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</row>
    <row r="302" spans="1:33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</row>
    <row r="303" spans="1:3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</row>
    <row r="304" spans="1:33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</row>
    <row r="305" spans="1:33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</row>
    <row r="306" spans="1:33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</row>
    <row r="307" spans="1:33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</row>
    <row r="308" spans="1:33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</row>
    <row r="309" spans="1:33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</row>
    <row r="310" spans="1:33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</row>
    <row r="311" spans="1:33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</row>
    <row r="312" spans="1:33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</row>
    <row r="313" spans="1:3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</row>
    <row r="314" spans="1:33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</row>
    <row r="315" spans="1:33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</row>
    <row r="316" spans="1:33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</row>
    <row r="317" spans="1:33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</row>
    <row r="318" spans="1:33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</row>
    <row r="319" spans="1:33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</row>
    <row r="320" spans="1:33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</row>
    <row r="321" spans="1:33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</row>
    <row r="322" spans="1:33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</row>
    <row r="323" spans="1:3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</row>
    <row r="324" spans="1:33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</row>
    <row r="325" spans="1:33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</row>
    <row r="326" spans="1:33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</row>
    <row r="327" spans="1:33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</row>
    <row r="328" spans="1:33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</row>
    <row r="329" spans="1:33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</row>
    <row r="330" spans="1:33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</row>
    <row r="331" spans="1:33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</row>
    <row r="332" spans="1:33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</row>
    <row r="333" spans="1: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</row>
    <row r="334" spans="1:33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</row>
    <row r="335" spans="1:33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</row>
    <row r="336" spans="1:33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</row>
    <row r="337" spans="1:33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</row>
    <row r="338" spans="1:33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</row>
    <row r="339" spans="1:33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</row>
    <row r="340" spans="1:33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</row>
    <row r="341" spans="1:33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</row>
    <row r="342" spans="1:33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</row>
    <row r="343" spans="1:3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</row>
    <row r="344" spans="1:33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</row>
    <row r="345" spans="1:33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</row>
    <row r="346" spans="1:33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</row>
    <row r="347" spans="1:33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</row>
    <row r="348" spans="1:33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</row>
    <row r="349" spans="1:33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</row>
    <row r="350" spans="1:33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</row>
    <row r="351" spans="1:33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</row>
    <row r="352" spans="1:33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</row>
    <row r="353" spans="1:3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</row>
    <row r="354" spans="1:33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</row>
    <row r="355" spans="1:33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</row>
    <row r="356" spans="1:33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</row>
    <row r="357" spans="1:33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</row>
    <row r="358" spans="1:33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</row>
    <row r="359" spans="1:33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</row>
    <row r="360" spans="1:33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</row>
    <row r="361" spans="1:33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</row>
    <row r="362" spans="1:33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</row>
    <row r="363" spans="1:3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</row>
    <row r="364" spans="1:33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</row>
    <row r="365" spans="1:33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</row>
    <row r="366" spans="1:33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</row>
    <row r="367" spans="1:33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</row>
    <row r="368" spans="1:33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</row>
    <row r="369" spans="1:33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</row>
    <row r="370" spans="1:33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</row>
    <row r="371" spans="1:33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</row>
    <row r="372" spans="1:33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</row>
    <row r="373" spans="1:3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</row>
    <row r="374" spans="1:33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</row>
    <row r="375" spans="1:33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</row>
    <row r="376" spans="1:33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</row>
    <row r="377" spans="1:33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</row>
    <row r="378" spans="1:33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</row>
    <row r="379" spans="1:33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</row>
    <row r="380" spans="1:33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</row>
    <row r="381" spans="1:33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</row>
    <row r="382" spans="1:33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</row>
    <row r="383" spans="1:3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</row>
    <row r="384" spans="1:33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</row>
    <row r="385" spans="1:33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</row>
    <row r="386" spans="1:33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</row>
    <row r="387" spans="1:33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</row>
    <row r="388" spans="1:33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</row>
    <row r="389" spans="1:33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</row>
    <row r="390" spans="1:33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</row>
    <row r="391" spans="1:33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</row>
    <row r="392" spans="1:33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</row>
    <row r="393" spans="1:3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</row>
    <row r="394" spans="1:33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</row>
    <row r="395" spans="1:33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</row>
    <row r="396" spans="1:33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</row>
    <row r="397" spans="1:33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</row>
    <row r="398" spans="1:33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</row>
    <row r="399" spans="1:33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</row>
    <row r="400" spans="1:33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</row>
    <row r="401" spans="1:33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</row>
    <row r="402" spans="1:33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</row>
    <row r="403" spans="1:3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</row>
    <row r="404" spans="1:33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</row>
    <row r="405" spans="1:33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</row>
    <row r="406" spans="1:33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</row>
    <row r="407" spans="1:33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</row>
    <row r="408" spans="1:33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</row>
    <row r="409" spans="1:33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</row>
    <row r="410" spans="1:33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</row>
    <row r="411" spans="1:33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</row>
    <row r="412" spans="1:33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</row>
    <row r="413" spans="1:3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</row>
    <row r="414" spans="1:33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</row>
    <row r="415" spans="1:33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</row>
    <row r="416" spans="1:33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</row>
    <row r="417" spans="1:33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</row>
    <row r="418" spans="1:33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</row>
    <row r="419" spans="1:33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</row>
    <row r="420" spans="1:33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</row>
    <row r="421" spans="1:33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</row>
    <row r="422" spans="1:33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</row>
    <row r="423" spans="1:3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</row>
    <row r="424" spans="1:33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</row>
    <row r="425" spans="1:33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</row>
    <row r="426" spans="1:33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</row>
    <row r="427" spans="1:33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</row>
    <row r="428" spans="1:33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</row>
    <row r="429" spans="1:33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</row>
    <row r="430" spans="1:33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</row>
    <row r="431" spans="1:33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</row>
    <row r="432" spans="1:33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</row>
    <row r="433" spans="1: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</row>
    <row r="434" spans="1:33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</row>
    <row r="435" spans="1:33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</row>
    <row r="436" spans="1:33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</row>
    <row r="437" spans="1:33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</row>
    <row r="438" spans="1:33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</row>
    <row r="439" spans="1:33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</row>
    <row r="440" spans="1:33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</row>
    <row r="441" spans="1:33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</row>
    <row r="442" spans="1:33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</row>
    <row r="443" spans="1:3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</row>
    <row r="444" spans="1:33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</row>
    <row r="445" spans="1:33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</row>
    <row r="446" spans="1:33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</row>
    <row r="447" spans="1:33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</row>
    <row r="448" spans="1:33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</row>
    <row r="449" spans="1:33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</row>
    <row r="450" spans="1:33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</row>
    <row r="451" spans="1:33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</row>
    <row r="452" spans="1:33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</row>
    <row r="453" spans="1:3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</row>
    <row r="454" spans="1:33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</row>
    <row r="455" spans="1:33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</row>
    <row r="456" spans="1:33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</row>
    <row r="457" spans="1:33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</row>
    <row r="458" spans="1:33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</row>
    <row r="459" spans="1:33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</row>
    <row r="460" spans="1:33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</row>
    <row r="461" spans="1:33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</row>
    <row r="462" spans="1:33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</row>
    <row r="463" spans="1:3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</row>
    <row r="464" spans="1:33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</row>
    <row r="465" spans="1:33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</row>
    <row r="466" spans="1:33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</row>
    <row r="467" spans="1:33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</row>
    <row r="468" spans="1:33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</row>
    <row r="469" spans="1:33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</row>
    <row r="470" spans="1:33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</row>
    <row r="471" spans="1:33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</row>
    <row r="472" spans="1:33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</row>
    <row r="473" spans="1:3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</row>
    <row r="474" spans="1:33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</row>
    <row r="475" spans="1:33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</row>
    <row r="476" spans="1:33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</row>
    <row r="477" spans="1:33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</row>
    <row r="478" spans="1:33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</row>
    <row r="479" spans="1:33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</row>
    <row r="480" spans="1:33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</row>
    <row r="481" spans="1:33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</row>
    <row r="482" spans="1:33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</row>
    <row r="483" spans="1:3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</row>
    <row r="484" spans="1:33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</row>
    <row r="485" spans="1:33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</row>
    <row r="486" spans="1:33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</row>
    <row r="487" spans="1:33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</row>
    <row r="488" spans="1:33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</row>
    <row r="489" spans="1:33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</row>
    <row r="490" spans="1:33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</row>
    <row r="491" spans="1:33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</row>
    <row r="492" spans="1:33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</row>
    <row r="493" spans="1:3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</row>
    <row r="494" spans="1:33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</row>
    <row r="495" spans="1:33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</row>
    <row r="496" spans="1:33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</row>
    <row r="497" spans="1:33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</row>
    <row r="498" spans="1:33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</row>
    <row r="499" spans="1:33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</row>
    <row r="500" spans="1:33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</row>
    <row r="501" spans="1:33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</row>
    <row r="502" spans="1:33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</row>
    <row r="503" spans="1:3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</row>
    <row r="504" spans="1:33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</row>
    <row r="505" spans="1:33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</row>
    <row r="506" spans="1:33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</row>
    <row r="507" spans="1:33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</row>
    <row r="508" spans="1:33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</row>
    <row r="509" spans="1:33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</row>
    <row r="510" spans="1:33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</row>
    <row r="511" spans="1:33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</row>
    <row r="512" spans="1:33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</row>
    <row r="513" spans="1:3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</row>
    <row r="514" spans="1:33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</row>
    <row r="515" spans="1:33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</row>
    <row r="516" spans="1:33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</row>
    <row r="517" spans="1:33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</row>
    <row r="518" spans="1:33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</row>
    <row r="519" spans="1:33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</row>
    <row r="520" spans="1:33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</row>
    <row r="521" spans="1:33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</row>
    <row r="522" spans="1:33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</row>
    <row r="523" spans="1:3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</row>
    <row r="524" spans="1:33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</row>
    <row r="525" spans="1:33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</row>
    <row r="526" spans="1:33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</row>
    <row r="527" spans="1:33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</row>
    <row r="528" spans="1:33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</row>
    <row r="529" spans="1:33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</row>
    <row r="530" spans="1:33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</row>
    <row r="531" spans="1:33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</row>
    <row r="532" spans="1:33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</row>
    <row r="533" spans="1: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</row>
    <row r="534" spans="1:33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</row>
    <row r="535" spans="1:33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</row>
    <row r="536" spans="1:33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</row>
    <row r="537" spans="1:33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</row>
    <row r="538" spans="1:33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</row>
    <row r="539" spans="1:33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</row>
    <row r="540" spans="1:33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</row>
    <row r="541" spans="1:33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</row>
    <row r="542" spans="1:33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</row>
    <row r="543" spans="1:3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</row>
    <row r="544" spans="1:33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</row>
    <row r="545" spans="1:33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</row>
    <row r="546" spans="1:33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</row>
    <row r="547" spans="1:33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</row>
    <row r="548" spans="1:33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</row>
    <row r="549" spans="1:33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</row>
    <row r="550" spans="1:33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</row>
    <row r="551" spans="1:33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</row>
    <row r="552" spans="1:33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</row>
    <row r="553" spans="1:3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</row>
    <row r="554" spans="1:33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</row>
    <row r="555" spans="1:33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</row>
    <row r="556" spans="1:33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</row>
    <row r="557" spans="1:33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</row>
    <row r="558" spans="1:33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</row>
    <row r="559" spans="1:33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</row>
    <row r="560" spans="1:33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</row>
    <row r="561" spans="1:33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</row>
    <row r="562" spans="1:33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</row>
    <row r="563" spans="1:3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</row>
    <row r="564" spans="1:33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</row>
    <row r="565" spans="1:33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</row>
    <row r="566" spans="1:33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</row>
    <row r="567" spans="1:33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</row>
    <row r="568" spans="1:33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</row>
    <row r="569" spans="1:33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</row>
    <row r="570" spans="1:33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</row>
    <row r="571" spans="1:33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</row>
    <row r="572" spans="1:33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</row>
    <row r="573" spans="1:3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</row>
    <row r="574" spans="1:33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</row>
    <row r="575" spans="1:33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</row>
    <row r="576" spans="1:33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</row>
    <row r="577" spans="1:33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</row>
    <row r="578" spans="1:33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</row>
    <row r="579" spans="1:33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</row>
    <row r="580" spans="1:33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</row>
    <row r="581" spans="1:33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</row>
    <row r="582" spans="1:33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</row>
    <row r="583" spans="1:3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</row>
    <row r="584" spans="1:33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</row>
    <row r="585" spans="1:33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</row>
    <row r="586" spans="1:33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</row>
    <row r="587" spans="1:33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</row>
    <row r="588" spans="1:33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</row>
    <row r="589" spans="1:33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</row>
    <row r="590" spans="1:33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</row>
    <row r="591" spans="1:33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</row>
    <row r="592" spans="1:33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</row>
    <row r="593" spans="1:3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</row>
    <row r="594" spans="1:33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</row>
    <row r="595" spans="1:33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</row>
    <row r="596" spans="1:33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</row>
    <row r="597" spans="1:33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</row>
    <row r="598" spans="1:33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</row>
    <row r="599" spans="1:33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</row>
    <row r="600" spans="1:33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</row>
    <row r="601" spans="1:33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</row>
    <row r="602" spans="1:33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</row>
    <row r="603" spans="1:3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</row>
    <row r="604" spans="1:33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</row>
    <row r="605" spans="1:33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</row>
    <row r="606" spans="1:33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</row>
    <row r="607" spans="1:33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</row>
    <row r="608" spans="1:33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</row>
    <row r="609" spans="1:33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</row>
    <row r="610" spans="1:33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</row>
    <row r="611" spans="1:33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</row>
    <row r="612" spans="1:33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</row>
    <row r="613" spans="1:3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</row>
    <row r="614" spans="1:33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</row>
    <row r="615" spans="1:33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</row>
    <row r="616" spans="1:33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</row>
    <row r="617" spans="1:33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</row>
    <row r="618" spans="1:33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</row>
    <row r="619" spans="1:33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</row>
    <row r="620" spans="1:33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</row>
    <row r="621" spans="1:33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</row>
    <row r="622" spans="1:33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</row>
    <row r="623" spans="1:3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</row>
    <row r="624" spans="1:33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</row>
    <row r="625" spans="1:33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</row>
    <row r="626" spans="1:33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</row>
    <row r="627" spans="1:33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</row>
    <row r="628" spans="1:33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</row>
    <row r="629" spans="1:33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</row>
    <row r="630" spans="1:33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</row>
    <row r="631" spans="1:33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</row>
    <row r="632" spans="1:33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</row>
    <row r="633" spans="1: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</row>
    <row r="634" spans="1:33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</row>
    <row r="635" spans="1:33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</row>
    <row r="636" spans="1:33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</row>
    <row r="637" spans="1:33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</row>
    <row r="638" spans="1:33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</row>
    <row r="639" spans="1:33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</row>
    <row r="640" spans="1:33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</row>
    <row r="641" spans="1:33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</row>
    <row r="642" spans="1:33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</row>
    <row r="643" spans="1:3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</row>
    <row r="644" spans="1:33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</row>
    <row r="645" spans="1:33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</row>
    <row r="646" spans="1:33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</row>
    <row r="647" spans="1:33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</row>
    <row r="648" spans="1:33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</row>
    <row r="649" spans="1:33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</row>
    <row r="650" spans="1:33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</row>
    <row r="651" spans="1:33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</row>
    <row r="652" spans="1:33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</row>
    <row r="653" spans="1:3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</row>
    <row r="654" spans="1:33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</row>
    <row r="655" spans="1:33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</row>
    <row r="656" spans="1:33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</row>
    <row r="657" spans="1:33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</row>
    <row r="658" spans="1:33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</row>
    <row r="659" spans="1:33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</row>
    <row r="660" spans="1:33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</row>
    <row r="661" spans="1:33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</row>
    <row r="662" spans="1:33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</row>
    <row r="663" spans="1:3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</row>
    <row r="664" spans="1:33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</row>
    <row r="665" spans="1:33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</row>
    <row r="666" spans="1:33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</row>
    <row r="667" spans="1:33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</row>
    <row r="668" spans="1:33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</row>
    <row r="669" spans="1:33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</row>
    <row r="670" spans="1:33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</row>
    <row r="671" spans="1:33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</row>
    <row r="672" spans="1:33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</row>
    <row r="673" spans="1:3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</row>
    <row r="674" spans="1:33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</row>
    <row r="675" spans="1:33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</row>
    <row r="676" spans="1:33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</row>
    <row r="677" spans="1:33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</row>
    <row r="678" spans="1:33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</row>
    <row r="679" spans="1:33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</row>
    <row r="680" spans="1:33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</row>
    <row r="681" spans="1:33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</row>
    <row r="682" spans="1:33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</row>
    <row r="683" spans="1:3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</row>
    <row r="684" spans="1:33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</row>
    <row r="685" spans="1:33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</row>
    <row r="686" spans="1:33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</row>
    <row r="687" spans="1:33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</row>
    <row r="688" spans="1:33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</row>
    <row r="689" spans="1:33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</row>
    <row r="690" spans="1:33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</row>
    <row r="691" spans="1:33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</row>
    <row r="692" spans="1:33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</row>
    <row r="693" spans="1:3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</row>
    <row r="694" spans="1:33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</row>
    <row r="695" spans="1:33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</row>
    <row r="696" spans="1:33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</row>
    <row r="697" spans="1:33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</row>
    <row r="698" spans="1:33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</row>
    <row r="699" spans="1:33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</row>
    <row r="700" spans="1:33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</row>
    <row r="701" spans="1:33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</row>
    <row r="702" spans="1:33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</row>
    <row r="703" spans="1:3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</row>
    <row r="704" spans="1:33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</row>
    <row r="705" spans="1:33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</row>
    <row r="706" spans="1:33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</row>
    <row r="707" spans="1:33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</row>
    <row r="708" spans="1:33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</row>
    <row r="709" spans="1:33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</row>
    <row r="710" spans="1:33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</row>
    <row r="711" spans="1:33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</row>
    <row r="712" spans="1:33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</row>
    <row r="713" spans="1:3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</row>
    <row r="714" spans="1:33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</row>
    <row r="715" spans="1:33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</row>
    <row r="716" spans="1:33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</row>
    <row r="717" spans="1:33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</row>
    <row r="718" spans="1:33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</row>
    <row r="719" spans="1:33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</row>
    <row r="720" spans="1:33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</row>
    <row r="721" spans="1:33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</row>
    <row r="722" spans="1:33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</row>
    <row r="723" spans="1:3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</row>
    <row r="724" spans="1:33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</row>
    <row r="725" spans="1:33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</row>
    <row r="726" spans="1:33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</row>
    <row r="727" spans="1:33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</row>
    <row r="728" spans="1:33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</row>
    <row r="729" spans="1:33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</row>
    <row r="730" spans="1:33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</row>
    <row r="731" spans="1:33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</row>
    <row r="732" spans="1:33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</row>
    <row r="733" spans="1: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</row>
    <row r="734" spans="1:33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</row>
    <row r="735" spans="1:33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</row>
    <row r="736" spans="1:33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</row>
    <row r="737" spans="1:33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</row>
    <row r="738" spans="1:33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</row>
    <row r="739" spans="1:33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</row>
    <row r="740" spans="1:33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</row>
    <row r="741" spans="1:33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</row>
    <row r="742" spans="1:33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</row>
    <row r="743" spans="1:3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</row>
    <row r="744" spans="1:33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</row>
    <row r="745" spans="1:33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</row>
    <row r="746" spans="1:33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</row>
    <row r="747" spans="1:33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</row>
    <row r="748" spans="1:33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</row>
    <row r="749" spans="1:33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</row>
    <row r="750" spans="1:33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</row>
    <row r="751" spans="1:33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</row>
    <row r="752" spans="1:33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</row>
    <row r="753" spans="1:3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</row>
    <row r="754" spans="1:33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</row>
    <row r="755" spans="1:33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</row>
    <row r="756" spans="1:33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</row>
    <row r="757" spans="1:33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</row>
    <row r="758" spans="1:33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</row>
    <row r="759" spans="1:33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</row>
    <row r="760" spans="1:33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</row>
    <row r="761" spans="1:33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</row>
    <row r="762" spans="1:33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</row>
    <row r="763" spans="1:3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</row>
    <row r="764" spans="1:33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</row>
    <row r="765" spans="1:33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</row>
    <row r="766" spans="1:33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</row>
    <row r="767" spans="1:33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</row>
    <row r="768" spans="1:33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</row>
    <row r="769" spans="1:33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</row>
    <row r="770" spans="1:33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</row>
    <row r="771" spans="1:33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</row>
    <row r="772" spans="1:33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</row>
    <row r="773" spans="1:3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</row>
    <row r="774" spans="1:33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</row>
    <row r="775" spans="1:33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</row>
    <row r="776" spans="1:33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</row>
    <row r="777" spans="1:33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</row>
    <row r="778" spans="1:33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</row>
    <row r="779" spans="1:33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</row>
    <row r="780" spans="1:33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</row>
    <row r="781" spans="1:33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</row>
    <row r="782" spans="1:33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</row>
    <row r="783" spans="1:3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</row>
    <row r="784" spans="1:33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</row>
    <row r="785" spans="1:33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</row>
    <row r="786" spans="1:33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</row>
    <row r="787" spans="1:33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</row>
    <row r="788" spans="1:33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</row>
    <row r="789" spans="1:33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</row>
    <row r="790" spans="1:33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</row>
    <row r="791" spans="1:33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</row>
    <row r="792" spans="1:33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</row>
    <row r="793" spans="1:3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</row>
    <row r="794" spans="1:33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</row>
    <row r="795" spans="1:33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</row>
    <row r="796" spans="1:33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</row>
    <row r="797" spans="1:33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</row>
    <row r="798" spans="1:33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</row>
    <row r="799" spans="1:33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</row>
    <row r="800" spans="1:33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</row>
    <row r="801" spans="1:33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</row>
    <row r="802" spans="1:33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</row>
    <row r="803" spans="1:3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</row>
    <row r="804" spans="1:33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</row>
    <row r="805" spans="1:33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</row>
    <row r="806" spans="1:33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</row>
    <row r="807" spans="1:33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</row>
    <row r="808" spans="1:33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</row>
    <row r="809" spans="1:33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</row>
    <row r="810" spans="1:33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</row>
    <row r="811" spans="1:33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</row>
    <row r="812" spans="1:33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</row>
    <row r="813" spans="1:3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</row>
    <row r="814" spans="1:33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</row>
    <row r="815" spans="1:33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</row>
    <row r="816" spans="1:33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</row>
    <row r="817" spans="1:33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</row>
    <row r="818" spans="1:33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</row>
    <row r="819" spans="1:33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</row>
    <row r="820" spans="1:33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</row>
    <row r="821" spans="1:33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</row>
    <row r="822" spans="1:33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</row>
    <row r="823" spans="1:3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</row>
    <row r="824" spans="1:33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</row>
    <row r="825" spans="1:33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</row>
    <row r="826" spans="1:33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</row>
    <row r="827" spans="1:33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</row>
    <row r="828" spans="1:33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</row>
    <row r="829" spans="1:33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</row>
    <row r="830" spans="1:33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</row>
    <row r="831" spans="1:33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</row>
    <row r="832" spans="1:33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</row>
    <row r="833" spans="1: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</row>
    <row r="834" spans="1:33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</row>
    <row r="835" spans="1:33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</row>
    <row r="836" spans="1:33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</row>
    <row r="837" spans="1:33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</row>
    <row r="838" spans="1:33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</row>
    <row r="839" spans="1:33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</row>
    <row r="840" spans="1:33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</row>
    <row r="841" spans="1:33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</row>
    <row r="842" spans="1:33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</row>
    <row r="843" spans="1:3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</row>
    <row r="844" spans="1:33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</row>
    <row r="845" spans="1:33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</row>
    <row r="846" spans="1:33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</row>
    <row r="847" spans="1:33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</row>
    <row r="848" spans="1:33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</row>
    <row r="849" spans="1:33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</row>
    <row r="850" spans="1:33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</row>
    <row r="851" spans="1:33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</row>
    <row r="852" spans="1:33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</row>
    <row r="853" spans="1:3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</row>
    <row r="854" spans="1:33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</row>
    <row r="855" spans="1:33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</row>
    <row r="856" spans="1:33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</row>
    <row r="857" spans="1:33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</row>
    <row r="858" spans="1:33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</row>
    <row r="859" spans="1:33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</row>
    <row r="860" spans="1:33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</row>
    <row r="861" spans="1:33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</row>
    <row r="862" spans="1:33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</row>
    <row r="863" spans="1:3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</row>
    <row r="864" spans="1:33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</row>
    <row r="865" spans="1:33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</row>
    <row r="866" spans="1:33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</row>
    <row r="867" spans="1:33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</row>
    <row r="868" spans="1:33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</row>
    <row r="869" spans="1:33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</row>
    <row r="870" spans="1:33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</row>
    <row r="871" spans="1:33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</row>
    <row r="872" spans="1:33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</row>
    <row r="873" spans="1:3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</row>
    <row r="874" spans="1:33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</row>
    <row r="875" spans="1:33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</row>
    <row r="876" spans="1:33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</row>
    <row r="877" spans="1:33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</row>
    <row r="878" spans="1:33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</row>
    <row r="879" spans="1:33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</row>
    <row r="880" spans="1:33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</row>
    <row r="881" spans="1:33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</row>
    <row r="882" spans="1:33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</row>
    <row r="883" spans="1:3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</row>
    <row r="884" spans="1:33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</row>
    <row r="885" spans="1:33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</row>
    <row r="886" spans="1:33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</row>
    <row r="887" spans="1:33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</row>
    <row r="888" spans="1:33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</row>
    <row r="889" spans="1:33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</row>
    <row r="890" spans="1:33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</row>
    <row r="891" spans="1:33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</row>
    <row r="892" spans="1:33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</row>
    <row r="893" spans="1:3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</row>
    <row r="894" spans="1:33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</row>
    <row r="895" spans="1:33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</row>
    <row r="896" spans="1:33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</row>
    <row r="897" spans="1:33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</row>
    <row r="898" spans="1:33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</row>
    <row r="899" spans="1:33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</row>
    <row r="900" spans="1:33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</row>
    <row r="901" spans="1:33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</row>
    <row r="902" spans="1:33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</row>
    <row r="903" spans="1:3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</row>
    <row r="904" spans="1:33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</row>
    <row r="905" spans="1:33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</row>
    <row r="906" spans="1:33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</row>
    <row r="907" spans="1:33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</row>
    <row r="908" spans="1:33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</row>
    <row r="909" spans="1:33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</row>
    <row r="910" spans="1:33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</row>
    <row r="911" spans="1:33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</row>
    <row r="912" spans="1:33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</row>
    <row r="913" spans="1:3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</row>
    <row r="914" spans="1:33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</row>
    <row r="915" spans="1:33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</row>
    <row r="916" spans="1:33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</row>
    <row r="917" spans="1:33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</row>
    <row r="918" spans="1:33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</row>
    <row r="919" spans="1:33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</row>
    <row r="920" spans="1:33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</row>
    <row r="921" spans="1:33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</row>
    <row r="922" spans="1:33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</row>
    <row r="923" spans="1:3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</row>
    <row r="924" spans="1:33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</row>
    <row r="925" spans="1:33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</row>
    <row r="926" spans="1:33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</row>
    <row r="927" spans="1:33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</row>
    <row r="928" spans="1:33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</row>
    <row r="929" spans="1:33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</row>
    <row r="930" spans="1:33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</row>
    <row r="931" spans="1:33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</row>
    <row r="932" spans="1:33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</row>
    <row r="933" spans="1: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</row>
    <row r="934" spans="1:33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</row>
    <row r="935" spans="1:33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</row>
    <row r="936" spans="1:33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</row>
    <row r="937" spans="1:33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</row>
    <row r="938" spans="1:33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</row>
    <row r="939" spans="1:33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</row>
    <row r="940" spans="1:33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</row>
    <row r="941" spans="1:33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</row>
    <row r="942" spans="1:33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</row>
    <row r="943" spans="1:3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</row>
    <row r="944" spans="1:33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</row>
    <row r="945" spans="1:33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</row>
    <row r="946" spans="1:33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</row>
    <row r="947" spans="1:33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</row>
    <row r="948" spans="1:33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</row>
    <row r="949" spans="1:33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</row>
    <row r="950" spans="1:33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</row>
    <row r="951" spans="1:33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</row>
    <row r="952" spans="1:33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</row>
    <row r="953" spans="1:3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</row>
    <row r="954" spans="1:33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</row>
    <row r="955" spans="1:33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</row>
    <row r="956" spans="1:33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</row>
    <row r="957" spans="1:33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</row>
    <row r="958" spans="1:33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</row>
    <row r="959" spans="1:33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</row>
    <row r="960" spans="1:33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</row>
    <row r="961" spans="1:33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</row>
    <row r="962" spans="1:33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</row>
    <row r="963" spans="1:3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</row>
    <row r="964" spans="1:33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</row>
    <row r="965" spans="1:33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</row>
    <row r="966" spans="1:33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</row>
    <row r="967" spans="1:33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</row>
    <row r="968" spans="1:33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</row>
    <row r="969" spans="1:33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</row>
    <row r="970" spans="1:33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</row>
    <row r="971" spans="1:33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</row>
    <row r="972" spans="1:33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</row>
    <row r="973" spans="1:3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</row>
    <row r="974" spans="1:33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</row>
    <row r="975" spans="1:33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</row>
    <row r="976" spans="1:33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</row>
    <row r="977" spans="1:33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</row>
    <row r="978" spans="1:33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</row>
    <row r="979" spans="1:33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</row>
    <row r="980" spans="1:33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</row>
    <row r="981" spans="1:33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</row>
    <row r="982" spans="1:33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</row>
    <row r="983" spans="1:3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</row>
    <row r="984" spans="1:33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</row>
    <row r="985" spans="1:33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</row>
    <row r="986" spans="1:33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</row>
    <row r="987" spans="1:33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</row>
    <row r="988" spans="1:33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</row>
    <row r="989" spans="1:33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</row>
    <row r="990" spans="1:33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</row>
    <row r="991" spans="1:33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</row>
    <row r="992" spans="1:33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</row>
    <row r="993" spans="1:3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</row>
    <row r="994" spans="1:33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</row>
    <row r="995" spans="1:33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</row>
    <row r="996" spans="1:33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</row>
    <row r="997" spans="1:33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</row>
    <row r="998" spans="1:33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</row>
    <row r="999" spans="1:33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</row>
    <row r="1000" spans="1:33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</row>
    <row r="1001" spans="1:33" ht="14.2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</row>
    <row r="1002" spans="1:33" ht="14.2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</row>
    <row r="1003" spans="1:33" ht="14.2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</row>
    <row r="1004" spans="1:33" ht="14.2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</row>
    <row r="1005" spans="1:33" ht="14.2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</row>
    <row r="1006" spans="1:33" ht="14.2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</row>
    <row r="1007" spans="1:33" ht="14.2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</row>
    <row r="1008" spans="1:33" ht="14.2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</row>
  </sheetData>
  <mergeCells count="1">
    <mergeCell ref="E1:K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1011"/>
  <sheetViews>
    <sheetView workbookViewId="0"/>
  </sheetViews>
  <sheetFormatPr defaultColWidth="14.453125" defaultRowHeight="15" customHeight="1"/>
  <cols>
    <col min="1" max="1" width="15.26953125" customWidth="1"/>
    <col min="2" max="2" width="13.08984375" customWidth="1"/>
    <col min="3" max="3" width="28.08984375" customWidth="1"/>
    <col min="4" max="4" width="22" customWidth="1"/>
    <col min="5" max="5" width="40.81640625" customWidth="1"/>
    <col min="6" max="6" width="5.81640625" customWidth="1"/>
    <col min="7" max="7" width="4.81640625" customWidth="1"/>
    <col min="8" max="8" width="32.08984375" customWidth="1"/>
    <col min="9" max="9" width="6.81640625" customWidth="1"/>
    <col min="10" max="10" width="7.54296875" customWidth="1"/>
    <col min="11" max="11" width="28.7265625" customWidth="1"/>
    <col min="12" max="12" width="5.81640625" customWidth="1"/>
    <col min="13" max="13" width="7.26953125" customWidth="1"/>
    <col min="14" max="14" width="25.54296875" customWidth="1"/>
    <col min="15" max="33" width="8.7265625" customWidth="1"/>
  </cols>
  <sheetData>
    <row r="1" spans="1:33" ht="14.25" customHeight="1">
      <c r="A1" s="1" t="s">
        <v>37</v>
      </c>
      <c r="B1" s="1" t="s">
        <v>38</v>
      </c>
      <c r="C1" s="1" t="s">
        <v>39</v>
      </c>
      <c r="D1" s="1" t="s">
        <v>40</v>
      </c>
      <c r="E1" s="50" t="s">
        <v>41</v>
      </c>
      <c r="F1" s="46"/>
      <c r="G1" s="46"/>
      <c r="H1" s="46"/>
      <c r="I1" s="46"/>
      <c r="J1" s="46"/>
      <c r="K1" s="46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 ht="14.25" customHeight="1">
      <c r="A2" s="2"/>
      <c r="B2" s="2"/>
      <c r="C2" s="2"/>
      <c r="D2" s="2"/>
      <c r="E2" s="31" t="s">
        <v>42</v>
      </c>
      <c r="G2" s="31"/>
      <c r="H2" s="2" t="s">
        <v>6</v>
      </c>
      <c r="I2" s="2"/>
      <c r="J2" s="2"/>
      <c r="K2" s="2" t="s">
        <v>45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33" ht="14.25" customHeight="1">
      <c r="A3" s="2" t="s">
        <v>321</v>
      </c>
      <c r="B3" s="2" t="s">
        <v>47</v>
      </c>
      <c r="C3" s="2" t="s">
        <v>3</v>
      </c>
      <c r="D3" s="2" t="s">
        <v>209</v>
      </c>
      <c r="E3" s="2" t="s">
        <v>322</v>
      </c>
      <c r="F3" s="32">
        <v>10</v>
      </c>
      <c r="G3" s="2">
        <v>6.95</v>
      </c>
      <c r="H3" s="2">
        <v>7</v>
      </c>
      <c r="I3" s="2"/>
      <c r="J3" s="2"/>
      <c r="K3" s="2">
        <v>43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4.25" customHeight="1">
      <c r="A4" s="2" t="s">
        <v>323</v>
      </c>
      <c r="B4" s="2" t="s">
        <v>47</v>
      </c>
      <c r="C4" s="2" t="s">
        <v>3</v>
      </c>
      <c r="D4" s="2" t="s">
        <v>256</v>
      </c>
      <c r="E4" s="2" t="s">
        <v>324</v>
      </c>
      <c r="F4" s="2">
        <v>1</v>
      </c>
      <c r="G4" s="2">
        <v>1.73</v>
      </c>
      <c r="H4" s="2">
        <v>4</v>
      </c>
      <c r="I4" s="2"/>
      <c r="J4" s="2"/>
      <c r="K4" s="2">
        <v>38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1:33" ht="14.25" customHeight="1">
      <c r="A5" s="2" t="s">
        <v>325</v>
      </c>
      <c r="B5" s="2" t="s">
        <v>47</v>
      </c>
      <c r="C5" s="2" t="s">
        <v>3</v>
      </c>
      <c r="D5" s="2" t="s">
        <v>326</v>
      </c>
      <c r="E5" s="2" t="s">
        <v>327</v>
      </c>
      <c r="F5" s="2">
        <v>11</v>
      </c>
      <c r="G5" s="2">
        <v>8.64</v>
      </c>
      <c r="H5" s="2">
        <v>1</v>
      </c>
      <c r="I5" s="2"/>
      <c r="J5" s="2"/>
      <c r="K5" s="2">
        <v>22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4.2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spans="1:33" ht="14.25" customHeight="1">
      <c r="A7" s="2"/>
      <c r="B7" s="2"/>
      <c r="C7" s="2"/>
      <c r="D7" s="2"/>
      <c r="E7" s="2" t="s">
        <v>56</v>
      </c>
      <c r="F7" s="2"/>
      <c r="G7" s="2"/>
      <c r="H7" s="2" t="s">
        <v>59</v>
      </c>
      <c r="I7" s="2"/>
      <c r="J7" s="2"/>
      <c r="K7" s="2" t="s">
        <v>60</v>
      </c>
      <c r="L7" s="2" t="s">
        <v>172</v>
      </c>
      <c r="M7" s="2" t="s">
        <v>43</v>
      </c>
      <c r="N7" s="2" t="s">
        <v>45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spans="1:33" ht="14.25" customHeight="1">
      <c r="A8" s="2" t="s">
        <v>328</v>
      </c>
      <c r="B8" s="2" t="s">
        <v>185</v>
      </c>
      <c r="C8" s="2" t="s">
        <v>63</v>
      </c>
      <c r="D8" s="2" t="s">
        <v>85</v>
      </c>
      <c r="E8" s="2" t="s">
        <v>329</v>
      </c>
      <c r="F8" s="2">
        <v>18</v>
      </c>
      <c r="G8" s="2">
        <v>0.49</v>
      </c>
      <c r="H8" s="2" t="s">
        <v>330</v>
      </c>
      <c r="I8" s="2">
        <v>7</v>
      </c>
      <c r="J8" s="2">
        <v>0.47</v>
      </c>
      <c r="K8" s="2" t="s">
        <v>331</v>
      </c>
      <c r="L8" s="2"/>
      <c r="M8" s="2"/>
      <c r="N8" s="2">
        <v>34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spans="1:33" ht="14.25" customHeight="1">
      <c r="A9" s="2" t="s">
        <v>332</v>
      </c>
      <c r="B9" s="2" t="s">
        <v>174</v>
      </c>
      <c r="C9" s="2" t="s">
        <v>63</v>
      </c>
      <c r="D9" s="2" t="s">
        <v>333</v>
      </c>
      <c r="E9" s="2" t="s">
        <v>334</v>
      </c>
      <c r="F9" s="2">
        <v>46</v>
      </c>
      <c r="G9" s="2">
        <v>0.41</v>
      </c>
      <c r="H9" s="2" t="s">
        <v>335</v>
      </c>
      <c r="I9" s="2">
        <v>6</v>
      </c>
      <c r="J9" s="2">
        <v>0.19</v>
      </c>
      <c r="K9" s="2" t="s">
        <v>336</v>
      </c>
      <c r="L9" s="2"/>
      <c r="M9" s="2"/>
      <c r="N9" s="2">
        <v>53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spans="1:33" ht="14.25" customHeight="1">
      <c r="A10" s="2" t="s">
        <v>337</v>
      </c>
      <c r="B10" s="2" t="s">
        <v>185</v>
      </c>
      <c r="C10" s="2" t="s">
        <v>63</v>
      </c>
      <c r="D10" s="2" t="s">
        <v>261</v>
      </c>
      <c r="E10" s="2" t="s">
        <v>338</v>
      </c>
      <c r="F10" s="2">
        <v>77</v>
      </c>
      <c r="G10" s="2">
        <v>0.55000000000000004</v>
      </c>
      <c r="H10" s="2" t="s">
        <v>339</v>
      </c>
      <c r="I10" s="2">
        <v>8</v>
      </c>
      <c r="J10" s="2">
        <v>0.24</v>
      </c>
      <c r="K10" s="2" t="s">
        <v>340</v>
      </c>
      <c r="L10" s="2"/>
      <c r="M10" s="2"/>
      <c r="N10" s="2">
        <v>65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spans="1:33" ht="14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spans="1:33" ht="14.25" customHeight="1">
      <c r="A12" s="2"/>
      <c r="B12" s="2"/>
      <c r="C12" s="2"/>
      <c r="D12" s="2"/>
      <c r="E12" s="2" t="s">
        <v>94</v>
      </c>
      <c r="F12" s="2"/>
      <c r="G12" s="2"/>
      <c r="H12" s="2" t="s">
        <v>95</v>
      </c>
      <c r="I12" s="2"/>
      <c r="J12" s="2"/>
      <c r="K12" s="2" t="s">
        <v>96</v>
      </c>
      <c r="L12" s="2" t="s">
        <v>341</v>
      </c>
      <c r="M12" s="2" t="s">
        <v>342</v>
      </c>
      <c r="N12" s="2" t="s">
        <v>31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3" ht="14.25" customHeight="1">
      <c r="A13" s="2" t="s">
        <v>343</v>
      </c>
      <c r="B13" s="2" t="s">
        <v>107</v>
      </c>
      <c r="C13" s="2" t="s">
        <v>101</v>
      </c>
      <c r="D13" s="2" t="s">
        <v>344</v>
      </c>
      <c r="E13" s="2" t="s">
        <v>345</v>
      </c>
      <c r="F13" s="2">
        <v>775</v>
      </c>
      <c r="G13" s="2">
        <v>0.82</v>
      </c>
      <c r="H13" s="2" t="s">
        <v>346</v>
      </c>
      <c r="I13" s="2">
        <v>92</v>
      </c>
      <c r="J13" s="2">
        <v>0.68</v>
      </c>
      <c r="K13" s="2" t="s">
        <v>347</v>
      </c>
      <c r="L13" s="2">
        <v>95</v>
      </c>
      <c r="M13" s="2">
        <v>88</v>
      </c>
      <c r="N13" s="2">
        <v>16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spans="1:33" ht="14.25" customHeight="1">
      <c r="A14" s="2" t="s">
        <v>348</v>
      </c>
      <c r="B14" s="2" t="s">
        <v>113</v>
      </c>
      <c r="C14" s="2" t="s">
        <v>101</v>
      </c>
      <c r="D14" s="2" t="s">
        <v>226</v>
      </c>
      <c r="E14" s="2" t="s">
        <v>349</v>
      </c>
      <c r="F14" s="2">
        <v>707</v>
      </c>
      <c r="G14" s="2">
        <v>0.83</v>
      </c>
      <c r="H14" s="2" t="s">
        <v>350</v>
      </c>
      <c r="I14" s="2">
        <v>44</v>
      </c>
      <c r="J14" s="2">
        <v>0.76</v>
      </c>
      <c r="K14" s="2" t="s">
        <v>351</v>
      </c>
      <c r="L14" s="2">
        <v>82</v>
      </c>
      <c r="M14" s="2">
        <v>55</v>
      </c>
      <c r="N14" s="2">
        <v>15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spans="1:33" ht="14.25" customHeight="1">
      <c r="A15" s="2" t="s">
        <v>352</v>
      </c>
      <c r="B15" s="2" t="s">
        <v>113</v>
      </c>
      <c r="C15" s="2" t="s">
        <v>101</v>
      </c>
      <c r="D15" s="2" t="s">
        <v>221</v>
      </c>
      <c r="E15" s="2" t="s">
        <v>353</v>
      </c>
      <c r="F15" s="2">
        <v>300</v>
      </c>
      <c r="G15" s="2">
        <v>0.85</v>
      </c>
      <c r="H15" s="2" t="s">
        <v>354</v>
      </c>
      <c r="I15" s="2">
        <v>33</v>
      </c>
      <c r="J15" s="2">
        <v>0.69</v>
      </c>
      <c r="K15" s="2" t="s">
        <v>355</v>
      </c>
      <c r="L15" s="2">
        <v>60</v>
      </c>
      <c r="M15" s="2">
        <v>40</v>
      </c>
      <c r="N15" s="2">
        <v>8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spans="1:33" ht="14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spans="1:33" ht="14.25" customHeight="1">
      <c r="A17" s="2" t="s">
        <v>356</v>
      </c>
      <c r="B17" s="2" t="s">
        <v>214</v>
      </c>
      <c r="C17" s="2" t="s">
        <v>357</v>
      </c>
      <c r="D17" s="2" t="s">
        <v>358</v>
      </c>
      <c r="E17" s="2" t="s">
        <v>359</v>
      </c>
      <c r="F17" s="2">
        <v>801</v>
      </c>
      <c r="G17" s="2">
        <v>0.83</v>
      </c>
      <c r="H17" s="2" t="s">
        <v>360</v>
      </c>
      <c r="I17" s="2">
        <v>90</v>
      </c>
      <c r="J17" s="2">
        <v>0.63</v>
      </c>
      <c r="K17" s="2" t="s">
        <v>361</v>
      </c>
      <c r="L17" s="2">
        <v>133</v>
      </c>
      <c r="M17" s="2">
        <v>46</v>
      </c>
      <c r="N17" s="2">
        <v>22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spans="1:33" ht="14.25" customHeight="1">
      <c r="A18" s="2" t="s">
        <v>362</v>
      </c>
      <c r="B18" s="2" t="s">
        <v>220</v>
      </c>
      <c r="C18" s="2" t="s">
        <v>357</v>
      </c>
      <c r="D18" s="2" t="s">
        <v>236</v>
      </c>
      <c r="E18" s="2" t="s">
        <v>363</v>
      </c>
      <c r="F18" s="2">
        <v>517</v>
      </c>
      <c r="G18" s="2">
        <v>0.67</v>
      </c>
      <c r="H18" s="2" t="s">
        <v>364</v>
      </c>
      <c r="I18" s="2">
        <v>97</v>
      </c>
      <c r="J18" s="2">
        <v>0.67</v>
      </c>
      <c r="K18" s="2" t="s">
        <v>365</v>
      </c>
      <c r="L18" s="2">
        <v>112</v>
      </c>
      <c r="M18" s="2">
        <v>56</v>
      </c>
      <c r="N18" s="2">
        <v>8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spans="1:33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spans="1:33" ht="14.25" customHeight="1">
      <c r="A20" s="2" t="s">
        <v>366</v>
      </c>
      <c r="B20" s="2" t="s">
        <v>122</v>
      </c>
      <c r="C20" s="2" t="s">
        <v>123</v>
      </c>
      <c r="D20" s="2" t="s">
        <v>114</v>
      </c>
      <c r="E20" s="2" t="s">
        <v>367</v>
      </c>
      <c r="F20" s="2">
        <v>24.68</v>
      </c>
      <c r="G20" s="2">
        <v>15</v>
      </c>
      <c r="H20" s="2">
        <v>0.68</v>
      </c>
      <c r="I20" s="30"/>
      <c r="J20" s="30"/>
      <c r="K20" s="30">
        <v>0.83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spans="1:33" ht="14.25" customHeight="1">
      <c r="A21" s="2"/>
      <c r="B21" s="2"/>
      <c r="C21" s="2"/>
      <c r="D21" s="2"/>
      <c r="E21" s="31"/>
      <c r="F21" s="31"/>
      <c r="G21" s="31"/>
      <c r="H21" s="31"/>
      <c r="I21" s="31"/>
      <c r="J21" s="31"/>
      <c r="K21" s="3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spans="1:33" ht="14.25" customHeight="1">
      <c r="A22" s="2"/>
      <c r="B22" s="2"/>
      <c r="C22" s="2"/>
      <c r="D22" s="2"/>
      <c r="E22" s="31" t="s">
        <v>125</v>
      </c>
      <c r="F22" s="31"/>
      <c r="G22" s="31"/>
      <c r="H22" s="31" t="s">
        <v>126</v>
      </c>
      <c r="I22" s="31"/>
      <c r="J22" s="31"/>
      <c r="K22" s="31" t="s">
        <v>127</v>
      </c>
      <c r="L22" s="2" t="s">
        <v>128</v>
      </c>
      <c r="M22" s="2" t="s">
        <v>58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spans="1:33" ht="14.25" customHeight="1">
      <c r="A23" s="2" t="s">
        <v>368</v>
      </c>
      <c r="B23" s="2" t="s">
        <v>137</v>
      </c>
      <c r="C23" s="2" t="s">
        <v>131</v>
      </c>
      <c r="D23" s="2" t="s">
        <v>316</v>
      </c>
      <c r="E23" s="2" t="s">
        <v>369</v>
      </c>
      <c r="F23" s="2">
        <v>773</v>
      </c>
      <c r="G23" s="2">
        <v>0.88</v>
      </c>
      <c r="H23" s="2" t="s">
        <v>370</v>
      </c>
      <c r="I23" s="2">
        <v>19</v>
      </c>
      <c r="J23" s="2">
        <v>0.43</v>
      </c>
      <c r="K23" s="2" t="s">
        <v>371</v>
      </c>
      <c r="L23" s="2">
        <v>113</v>
      </c>
      <c r="M23" s="2">
        <v>0.81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spans="1:33" ht="14.25" customHeight="1">
      <c r="A24" s="2" t="s">
        <v>372</v>
      </c>
      <c r="B24" s="2" t="s">
        <v>235</v>
      </c>
      <c r="C24" s="2" t="s">
        <v>131</v>
      </c>
      <c r="D24" s="2" t="s">
        <v>373</v>
      </c>
      <c r="E24" s="2" t="s">
        <v>374</v>
      </c>
      <c r="F24" s="2">
        <v>512</v>
      </c>
      <c r="G24" s="2">
        <v>0.86</v>
      </c>
      <c r="H24" s="2" t="s">
        <v>375</v>
      </c>
      <c r="I24" s="2">
        <v>17</v>
      </c>
      <c r="J24" s="2">
        <v>0.44</v>
      </c>
      <c r="K24" s="2" t="s">
        <v>376</v>
      </c>
      <c r="L24" s="2">
        <v>44</v>
      </c>
      <c r="M24" s="2">
        <v>0.65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spans="1:33" ht="14.25" customHeight="1">
      <c r="A25" s="2" t="s">
        <v>377</v>
      </c>
      <c r="B25" s="2" t="s">
        <v>235</v>
      </c>
      <c r="C25" s="2" t="s">
        <v>131</v>
      </c>
      <c r="D25" s="2" t="s">
        <v>378</v>
      </c>
      <c r="E25" s="2" t="s">
        <v>379</v>
      </c>
      <c r="F25" s="2">
        <v>405</v>
      </c>
      <c r="G25" s="2">
        <v>0.83</v>
      </c>
      <c r="H25" s="2" t="s">
        <v>380</v>
      </c>
      <c r="I25" s="2">
        <v>23</v>
      </c>
      <c r="J25" s="2">
        <v>0.49</v>
      </c>
      <c r="K25" s="2" t="s">
        <v>381</v>
      </c>
      <c r="L25" s="2">
        <v>45</v>
      </c>
      <c r="M25" s="2">
        <v>0.7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spans="1:33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spans="1:33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spans="1:33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spans="1:33" ht="14.25" customHeight="1">
      <c r="A29" s="2"/>
      <c r="B29" s="2"/>
      <c r="C29" s="2">
        <f>COUNTIF($C$2:$C$26,"Center Back")</f>
        <v>3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 spans="1:33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 spans="1:33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 spans="1:33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spans="1: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spans="1:33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 spans="1:33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 spans="1:33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 spans="1:33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 spans="1:33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 spans="1:33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 spans="1:33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spans="1:33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 spans="1:33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spans="1:3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 spans="1:33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spans="1:33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 spans="1:33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 spans="1:33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 spans="1:33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spans="1:33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spans="1:33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spans="1:33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 spans="1:33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 spans="1:3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 spans="1:33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 spans="1:33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 spans="1:33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 spans="1:33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 spans="1:33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 spans="1:33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 spans="1:33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spans="1:33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spans="1:33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 spans="1:3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 spans="1:33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 spans="1:33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 spans="1:33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 spans="1:33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 spans="1:33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 spans="1:33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 spans="1:33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 spans="1:33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 spans="1:33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 spans="1:3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 spans="1:33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 spans="1:33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 spans="1:33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 spans="1:33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 spans="1:33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 spans="1:33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 spans="1:33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 spans="1:33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 spans="1:33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 spans="1:3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 spans="1:33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 spans="1:33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 spans="1:33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 spans="1:33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 spans="1:33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 spans="1:33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 spans="1:33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 spans="1:33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 spans="1:33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 spans="1:3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 spans="1:33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 spans="1:33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 spans="1:33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 spans="1:33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 spans="1:33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 spans="1:33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 spans="1:33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 spans="1:33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 spans="1:33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 spans="1:3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 spans="1:33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 spans="1:33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 spans="1:33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 spans="1:33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 spans="1:33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 spans="1:33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 spans="1:33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 spans="1:33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 spans="1:33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 spans="1:3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 spans="1:33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 spans="1:33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 spans="1:33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 spans="1:33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 spans="1:33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 spans="1:33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 spans="1:33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 spans="1:33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r="122" spans="1:33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 spans="1:3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 spans="1:33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 spans="1:33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 spans="1:33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 spans="1:33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 spans="1:33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r="129" spans="1:33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 spans="1:33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 spans="1:33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 spans="1:33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r="133" spans="1: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</row>
    <row r="134" spans="1:33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 spans="1:33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 spans="1:33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 spans="1:33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 spans="1:33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 spans="1:33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 spans="1:33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 spans="1:33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r="142" spans="1:33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 spans="1:3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 spans="1:33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r="145" spans="1:33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r="146" spans="1:33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  <row r="147" spans="1:33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r="148" spans="1:33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 spans="1:33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 spans="1:33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r="151" spans="1:33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r="152" spans="1:33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r="153" spans="1:3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</row>
    <row r="154" spans="1:33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</row>
    <row r="155" spans="1:33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</row>
    <row r="156" spans="1:33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</row>
    <row r="157" spans="1:33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</row>
    <row r="158" spans="1:33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</row>
    <row r="159" spans="1:33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</row>
    <row r="160" spans="1:33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r="161" spans="1:33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r="162" spans="1:33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</row>
    <row r="163" spans="1:3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r="164" spans="1:33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</row>
    <row r="165" spans="1:33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</row>
    <row r="166" spans="1:33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r="167" spans="1:33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</row>
    <row r="168" spans="1:33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r="169" spans="1:33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r="170" spans="1:33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 spans="1:33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 spans="1:33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 spans="1:3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 spans="1:33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 spans="1:33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r="176" spans="1:33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</row>
    <row r="177" spans="1:33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 spans="1:33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spans="1:33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 spans="1:33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 spans="1:33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 spans="1:33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 spans="1:3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 spans="1:33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 spans="1:33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 spans="1:33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 spans="1:33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r="188" spans="1:33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  <row r="189" spans="1:33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</row>
    <row r="190" spans="1:33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</row>
    <row r="191" spans="1:33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</row>
    <row r="192" spans="1:33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</row>
    <row r="193" spans="1:3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</row>
    <row r="194" spans="1:33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</row>
    <row r="195" spans="1:33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</row>
    <row r="196" spans="1:33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</row>
    <row r="197" spans="1:33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</row>
    <row r="198" spans="1:33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</row>
    <row r="199" spans="1:33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</row>
    <row r="200" spans="1:33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</row>
    <row r="201" spans="1:33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</row>
    <row r="202" spans="1:33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</row>
    <row r="203" spans="1:3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</row>
    <row r="204" spans="1:33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</row>
    <row r="205" spans="1:33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</row>
    <row r="206" spans="1:33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</row>
    <row r="207" spans="1:33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</row>
    <row r="208" spans="1:33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</row>
    <row r="209" spans="1:33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</row>
    <row r="210" spans="1:33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</row>
    <row r="211" spans="1:33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</row>
    <row r="212" spans="1:33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</row>
    <row r="213" spans="1:3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</row>
    <row r="214" spans="1:33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</row>
    <row r="215" spans="1:33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</row>
    <row r="216" spans="1:33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</row>
    <row r="217" spans="1:33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</row>
    <row r="218" spans="1:33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</row>
    <row r="219" spans="1:33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</row>
    <row r="220" spans="1:33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</row>
    <row r="221" spans="1:33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</row>
    <row r="222" spans="1:33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</row>
    <row r="223" spans="1:3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</row>
    <row r="224" spans="1:33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</row>
    <row r="225" spans="1:33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</row>
    <row r="226" spans="1:33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</row>
    <row r="227" spans="1:33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</row>
    <row r="228" spans="1:33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</row>
    <row r="229" spans="1:33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</row>
    <row r="230" spans="1:33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</row>
    <row r="231" spans="1:33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</row>
    <row r="232" spans="1:33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</row>
    <row r="233" spans="1: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</row>
    <row r="234" spans="1:33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</row>
    <row r="235" spans="1:33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</row>
    <row r="236" spans="1:33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</row>
    <row r="237" spans="1:33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</row>
    <row r="238" spans="1:33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</row>
    <row r="239" spans="1:33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</row>
    <row r="240" spans="1:33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</row>
    <row r="241" spans="1:33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</row>
    <row r="242" spans="1:33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</row>
    <row r="243" spans="1:3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</row>
    <row r="244" spans="1:33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</row>
    <row r="245" spans="1:33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</row>
    <row r="246" spans="1:33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</row>
    <row r="247" spans="1:33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</row>
    <row r="248" spans="1:33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</row>
    <row r="249" spans="1:33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</row>
    <row r="250" spans="1:33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</row>
    <row r="251" spans="1:33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</row>
    <row r="252" spans="1:33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</row>
    <row r="253" spans="1:3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</row>
    <row r="254" spans="1:33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</row>
    <row r="255" spans="1:33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</row>
    <row r="256" spans="1:33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</row>
    <row r="257" spans="1:33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</row>
    <row r="258" spans="1:33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</row>
    <row r="259" spans="1:33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</row>
    <row r="260" spans="1:33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</row>
    <row r="261" spans="1:33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</row>
    <row r="262" spans="1:33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</row>
    <row r="263" spans="1:3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</row>
    <row r="264" spans="1:33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</row>
    <row r="265" spans="1:33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</row>
    <row r="266" spans="1:33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</row>
    <row r="267" spans="1:33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</row>
    <row r="268" spans="1:33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</row>
    <row r="269" spans="1:33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</row>
    <row r="270" spans="1:33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</row>
    <row r="271" spans="1:33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</row>
    <row r="272" spans="1:33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</row>
    <row r="273" spans="1:3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</row>
    <row r="274" spans="1:33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</row>
    <row r="275" spans="1:33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</row>
    <row r="276" spans="1:33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</row>
    <row r="277" spans="1:33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</row>
    <row r="278" spans="1:33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</row>
    <row r="279" spans="1:33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</row>
    <row r="280" spans="1:33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</row>
    <row r="281" spans="1:33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</row>
    <row r="282" spans="1:33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</row>
    <row r="283" spans="1:3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</row>
    <row r="284" spans="1:33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</row>
    <row r="285" spans="1:33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</row>
    <row r="286" spans="1:33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</row>
    <row r="287" spans="1:33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</row>
    <row r="288" spans="1:33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</row>
    <row r="289" spans="1:33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</row>
    <row r="290" spans="1:33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</row>
    <row r="291" spans="1:33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</row>
    <row r="292" spans="1:33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</row>
    <row r="293" spans="1:3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</row>
    <row r="294" spans="1:33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</row>
    <row r="295" spans="1:33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</row>
    <row r="296" spans="1:33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</row>
    <row r="297" spans="1:33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</row>
    <row r="298" spans="1:33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</row>
    <row r="299" spans="1:33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</row>
    <row r="300" spans="1:33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</row>
    <row r="301" spans="1:33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</row>
    <row r="302" spans="1:33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</row>
    <row r="303" spans="1:3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</row>
    <row r="304" spans="1:33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</row>
    <row r="305" spans="1:33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</row>
    <row r="306" spans="1:33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</row>
    <row r="307" spans="1:33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</row>
    <row r="308" spans="1:33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</row>
    <row r="309" spans="1:33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</row>
    <row r="310" spans="1:33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</row>
    <row r="311" spans="1:33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</row>
    <row r="312" spans="1:33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</row>
    <row r="313" spans="1:3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</row>
    <row r="314" spans="1:33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</row>
    <row r="315" spans="1:33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</row>
    <row r="316" spans="1:33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</row>
    <row r="317" spans="1:33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</row>
    <row r="318" spans="1:33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</row>
    <row r="319" spans="1:33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</row>
    <row r="320" spans="1:33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</row>
    <row r="321" spans="1:33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</row>
    <row r="322" spans="1:33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</row>
    <row r="323" spans="1:3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</row>
    <row r="324" spans="1:33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</row>
    <row r="325" spans="1:33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</row>
    <row r="326" spans="1:33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</row>
    <row r="327" spans="1:33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</row>
    <row r="328" spans="1:33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</row>
    <row r="329" spans="1:33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</row>
    <row r="330" spans="1:33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</row>
    <row r="331" spans="1:33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</row>
    <row r="332" spans="1:33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</row>
    <row r="333" spans="1: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</row>
    <row r="334" spans="1:33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</row>
    <row r="335" spans="1:33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</row>
    <row r="336" spans="1:33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</row>
    <row r="337" spans="1:33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</row>
    <row r="338" spans="1:33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</row>
    <row r="339" spans="1:33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</row>
    <row r="340" spans="1:33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</row>
    <row r="341" spans="1:33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</row>
    <row r="342" spans="1:33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</row>
    <row r="343" spans="1:3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</row>
    <row r="344" spans="1:33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</row>
    <row r="345" spans="1:33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</row>
    <row r="346" spans="1:33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</row>
    <row r="347" spans="1:33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</row>
    <row r="348" spans="1:33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</row>
    <row r="349" spans="1:33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</row>
    <row r="350" spans="1:33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</row>
    <row r="351" spans="1:33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</row>
    <row r="352" spans="1:33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</row>
    <row r="353" spans="1:3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</row>
    <row r="354" spans="1:33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</row>
    <row r="355" spans="1:33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</row>
    <row r="356" spans="1:33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</row>
    <row r="357" spans="1:33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</row>
    <row r="358" spans="1:33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</row>
    <row r="359" spans="1:33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</row>
    <row r="360" spans="1:33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</row>
    <row r="361" spans="1:33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</row>
    <row r="362" spans="1:33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</row>
    <row r="363" spans="1:3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</row>
    <row r="364" spans="1:33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</row>
    <row r="365" spans="1:33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</row>
    <row r="366" spans="1:33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</row>
    <row r="367" spans="1:33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</row>
    <row r="368" spans="1:33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</row>
    <row r="369" spans="1:33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</row>
    <row r="370" spans="1:33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</row>
    <row r="371" spans="1:33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</row>
    <row r="372" spans="1:33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</row>
    <row r="373" spans="1:3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</row>
    <row r="374" spans="1:33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</row>
    <row r="375" spans="1:33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</row>
    <row r="376" spans="1:33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</row>
    <row r="377" spans="1:33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</row>
    <row r="378" spans="1:33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</row>
    <row r="379" spans="1:33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</row>
    <row r="380" spans="1:33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</row>
    <row r="381" spans="1:33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</row>
    <row r="382" spans="1:33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</row>
    <row r="383" spans="1:3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</row>
    <row r="384" spans="1:33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</row>
    <row r="385" spans="1:33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</row>
    <row r="386" spans="1:33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</row>
    <row r="387" spans="1:33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</row>
    <row r="388" spans="1:33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</row>
    <row r="389" spans="1:33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</row>
    <row r="390" spans="1:33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</row>
    <row r="391" spans="1:33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</row>
    <row r="392" spans="1:33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</row>
    <row r="393" spans="1:3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</row>
    <row r="394" spans="1:33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</row>
    <row r="395" spans="1:33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</row>
    <row r="396" spans="1:33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</row>
    <row r="397" spans="1:33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</row>
    <row r="398" spans="1:33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</row>
    <row r="399" spans="1:33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</row>
    <row r="400" spans="1:33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</row>
    <row r="401" spans="1:33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</row>
    <row r="402" spans="1:33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</row>
    <row r="403" spans="1:3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</row>
    <row r="404" spans="1:33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</row>
    <row r="405" spans="1:33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</row>
    <row r="406" spans="1:33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</row>
    <row r="407" spans="1:33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</row>
    <row r="408" spans="1:33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</row>
    <row r="409" spans="1:33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</row>
    <row r="410" spans="1:33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</row>
    <row r="411" spans="1:33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</row>
    <row r="412" spans="1:33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</row>
    <row r="413" spans="1:3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</row>
    <row r="414" spans="1:33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</row>
    <row r="415" spans="1:33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</row>
    <row r="416" spans="1:33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</row>
    <row r="417" spans="1:33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</row>
    <row r="418" spans="1:33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</row>
    <row r="419" spans="1:33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</row>
    <row r="420" spans="1:33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</row>
    <row r="421" spans="1:33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</row>
    <row r="422" spans="1:33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</row>
    <row r="423" spans="1:3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</row>
    <row r="424" spans="1:33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</row>
    <row r="425" spans="1:33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</row>
    <row r="426" spans="1:33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</row>
    <row r="427" spans="1:33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</row>
    <row r="428" spans="1:33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</row>
    <row r="429" spans="1:33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</row>
    <row r="430" spans="1:33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</row>
    <row r="431" spans="1:33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</row>
    <row r="432" spans="1:33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</row>
    <row r="433" spans="1: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</row>
    <row r="434" spans="1:33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</row>
    <row r="435" spans="1:33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</row>
    <row r="436" spans="1:33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</row>
    <row r="437" spans="1:33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</row>
    <row r="438" spans="1:33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</row>
    <row r="439" spans="1:33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</row>
    <row r="440" spans="1:33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</row>
    <row r="441" spans="1:33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</row>
    <row r="442" spans="1:33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</row>
    <row r="443" spans="1:3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</row>
    <row r="444" spans="1:33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</row>
    <row r="445" spans="1:33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</row>
    <row r="446" spans="1:33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</row>
    <row r="447" spans="1:33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</row>
    <row r="448" spans="1:33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</row>
    <row r="449" spans="1:33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</row>
    <row r="450" spans="1:33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</row>
    <row r="451" spans="1:33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</row>
    <row r="452" spans="1:33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</row>
    <row r="453" spans="1:3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</row>
    <row r="454" spans="1:33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</row>
    <row r="455" spans="1:33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</row>
    <row r="456" spans="1:33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</row>
    <row r="457" spans="1:33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</row>
    <row r="458" spans="1:33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</row>
    <row r="459" spans="1:33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</row>
    <row r="460" spans="1:33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</row>
    <row r="461" spans="1:33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</row>
    <row r="462" spans="1:33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</row>
    <row r="463" spans="1:3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</row>
    <row r="464" spans="1:33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</row>
    <row r="465" spans="1:33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</row>
    <row r="466" spans="1:33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</row>
    <row r="467" spans="1:33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</row>
    <row r="468" spans="1:33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</row>
    <row r="469" spans="1:33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</row>
    <row r="470" spans="1:33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</row>
    <row r="471" spans="1:33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</row>
    <row r="472" spans="1:33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</row>
    <row r="473" spans="1:3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</row>
    <row r="474" spans="1:33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</row>
    <row r="475" spans="1:33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</row>
    <row r="476" spans="1:33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</row>
    <row r="477" spans="1:33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</row>
    <row r="478" spans="1:33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</row>
    <row r="479" spans="1:33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</row>
    <row r="480" spans="1:33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</row>
    <row r="481" spans="1:33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</row>
    <row r="482" spans="1:33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</row>
    <row r="483" spans="1:3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</row>
    <row r="484" spans="1:33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</row>
    <row r="485" spans="1:33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</row>
    <row r="486" spans="1:33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</row>
    <row r="487" spans="1:33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</row>
    <row r="488" spans="1:33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</row>
    <row r="489" spans="1:33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</row>
    <row r="490" spans="1:33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</row>
    <row r="491" spans="1:33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</row>
    <row r="492" spans="1:33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</row>
    <row r="493" spans="1:3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</row>
    <row r="494" spans="1:33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</row>
    <row r="495" spans="1:33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</row>
    <row r="496" spans="1:33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</row>
    <row r="497" spans="1:33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</row>
    <row r="498" spans="1:33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</row>
    <row r="499" spans="1:33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</row>
    <row r="500" spans="1:33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</row>
    <row r="501" spans="1:33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</row>
    <row r="502" spans="1:33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</row>
    <row r="503" spans="1:3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</row>
    <row r="504" spans="1:33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</row>
    <row r="505" spans="1:33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</row>
    <row r="506" spans="1:33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</row>
    <row r="507" spans="1:33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</row>
    <row r="508" spans="1:33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</row>
    <row r="509" spans="1:33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</row>
    <row r="510" spans="1:33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</row>
    <row r="511" spans="1:33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</row>
    <row r="512" spans="1:33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</row>
    <row r="513" spans="1:3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</row>
    <row r="514" spans="1:33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</row>
    <row r="515" spans="1:33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</row>
    <row r="516" spans="1:33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</row>
    <row r="517" spans="1:33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</row>
    <row r="518" spans="1:33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</row>
    <row r="519" spans="1:33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</row>
    <row r="520" spans="1:33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</row>
    <row r="521" spans="1:33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</row>
    <row r="522" spans="1:33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</row>
    <row r="523" spans="1:3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</row>
    <row r="524" spans="1:33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</row>
    <row r="525" spans="1:33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</row>
    <row r="526" spans="1:33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</row>
    <row r="527" spans="1:33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</row>
    <row r="528" spans="1:33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</row>
    <row r="529" spans="1:33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</row>
    <row r="530" spans="1:33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</row>
    <row r="531" spans="1:33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</row>
    <row r="532" spans="1:33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</row>
    <row r="533" spans="1: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</row>
    <row r="534" spans="1:33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</row>
    <row r="535" spans="1:33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</row>
    <row r="536" spans="1:33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</row>
    <row r="537" spans="1:33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</row>
    <row r="538" spans="1:33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</row>
    <row r="539" spans="1:33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</row>
    <row r="540" spans="1:33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</row>
    <row r="541" spans="1:33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</row>
    <row r="542" spans="1:33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</row>
    <row r="543" spans="1:3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</row>
    <row r="544" spans="1:33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</row>
    <row r="545" spans="1:33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</row>
    <row r="546" spans="1:33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</row>
    <row r="547" spans="1:33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</row>
    <row r="548" spans="1:33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</row>
    <row r="549" spans="1:33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</row>
    <row r="550" spans="1:33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</row>
    <row r="551" spans="1:33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</row>
    <row r="552" spans="1:33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</row>
    <row r="553" spans="1:3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</row>
    <row r="554" spans="1:33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</row>
    <row r="555" spans="1:33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</row>
    <row r="556" spans="1:33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</row>
    <row r="557" spans="1:33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</row>
    <row r="558" spans="1:33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</row>
    <row r="559" spans="1:33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</row>
    <row r="560" spans="1:33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</row>
    <row r="561" spans="1:33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</row>
    <row r="562" spans="1:33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</row>
    <row r="563" spans="1:3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</row>
    <row r="564" spans="1:33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</row>
    <row r="565" spans="1:33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</row>
    <row r="566" spans="1:33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</row>
    <row r="567" spans="1:33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</row>
    <row r="568" spans="1:33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</row>
    <row r="569" spans="1:33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</row>
    <row r="570" spans="1:33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</row>
    <row r="571" spans="1:33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</row>
    <row r="572" spans="1:33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</row>
    <row r="573" spans="1:3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</row>
    <row r="574" spans="1:33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</row>
    <row r="575" spans="1:33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</row>
    <row r="576" spans="1:33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</row>
    <row r="577" spans="1:33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</row>
    <row r="578" spans="1:33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</row>
    <row r="579" spans="1:33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</row>
    <row r="580" spans="1:33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</row>
    <row r="581" spans="1:33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</row>
    <row r="582" spans="1:33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</row>
    <row r="583" spans="1:3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</row>
    <row r="584" spans="1:33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</row>
    <row r="585" spans="1:33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</row>
    <row r="586" spans="1:33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</row>
    <row r="587" spans="1:33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</row>
    <row r="588" spans="1:33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</row>
    <row r="589" spans="1:33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</row>
    <row r="590" spans="1:33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</row>
    <row r="591" spans="1:33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</row>
    <row r="592" spans="1:33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</row>
    <row r="593" spans="1:3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</row>
    <row r="594" spans="1:33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</row>
    <row r="595" spans="1:33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</row>
    <row r="596" spans="1:33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</row>
    <row r="597" spans="1:33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</row>
    <row r="598" spans="1:33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</row>
    <row r="599" spans="1:33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</row>
    <row r="600" spans="1:33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</row>
    <row r="601" spans="1:33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</row>
    <row r="602" spans="1:33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</row>
    <row r="603" spans="1:3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</row>
    <row r="604" spans="1:33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</row>
    <row r="605" spans="1:33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</row>
    <row r="606" spans="1:33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</row>
    <row r="607" spans="1:33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</row>
    <row r="608" spans="1:33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</row>
    <row r="609" spans="1:33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</row>
    <row r="610" spans="1:33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</row>
    <row r="611" spans="1:33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</row>
    <row r="612" spans="1:33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</row>
    <row r="613" spans="1:3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</row>
    <row r="614" spans="1:33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</row>
    <row r="615" spans="1:33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</row>
    <row r="616" spans="1:33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</row>
    <row r="617" spans="1:33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</row>
    <row r="618" spans="1:33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</row>
    <row r="619" spans="1:33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</row>
    <row r="620" spans="1:33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</row>
    <row r="621" spans="1:33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</row>
    <row r="622" spans="1:33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</row>
    <row r="623" spans="1:3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</row>
    <row r="624" spans="1:33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</row>
    <row r="625" spans="1:33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</row>
    <row r="626" spans="1:33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</row>
    <row r="627" spans="1:33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</row>
    <row r="628" spans="1:33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</row>
    <row r="629" spans="1:33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</row>
    <row r="630" spans="1:33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</row>
    <row r="631" spans="1:33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</row>
    <row r="632" spans="1:33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</row>
    <row r="633" spans="1: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</row>
    <row r="634" spans="1:33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</row>
    <row r="635" spans="1:33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</row>
    <row r="636" spans="1:33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</row>
    <row r="637" spans="1:33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</row>
    <row r="638" spans="1:33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</row>
    <row r="639" spans="1:33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</row>
    <row r="640" spans="1:33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</row>
    <row r="641" spans="1:33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</row>
    <row r="642" spans="1:33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</row>
    <row r="643" spans="1:3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</row>
    <row r="644" spans="1:33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</row>
    <row r="645" spans="1:33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</row>
    <row r="646" spans="1:33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</row>
    <row r="647" spans="1:33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</row>
    <row r="648" spans="1:33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</row>
    <row r="649" spans="1:33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</row>
    <row r="650" spans="1:33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</row>
    <row r="651" spans="1:33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</row>
    <row r="652" spans="1:33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</row>
    <row r="653" spans="1:3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</row>
    <row r="654" spans="1:33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</row>
    <row r="655" spans="1:33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</row>
    <row r="656" spans="1:33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</row>
    <row r="657" spans="1:33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</row>
    <row r="658" spans="1:33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</row>
    <row r="659" spans="1:33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</row>
    <row r="660" spans="1:33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</row>
    <row r="661" spans="1:33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</row>
    <row r="662" spans="1:33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</row>
    <row r="663" spans="1:3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</row>
    <row r="664" spans="1:33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</row>
    <row r="665" spans="1:33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</row>
    <row r="666" spans="1:33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</row>
    <row r="667" spans="1:33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</row>
    <row r="668" spans="1:33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</row>
    <row r="669" spans="1:33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</row>
    <row r="670" spans="1:33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</row>
    <row r="671" spans="1:33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</row>
    <row r="672" spans="1:33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</row>
    <row r="673" spans="1:3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</row>
    <row r="674" spans="1:33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</row>
    <row r="675" spans="1:33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</row>
    <row r="676" spans="1:33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</row>
    <row r="677" spans="1:33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</row>
    <row r="678" spans="1:33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</row>
    <row r="679" spans="1:33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</row>
    <row r="680" spans="1:33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</row>
    <row r="681" spans="1:33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</row>
    <row r="682" spans="1:33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</row>
    <row r="683" spans="1:3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</row>
    <row r="684" spans="1:33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</row>
    <row r="685" spans="1:33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</row>
    <row r="686" spans="1:33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</row>
    <row r="687" spans="1:33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</row>
    <row r="688" spans="1:33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</row>
    <row r="689" spans="1:33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</row>
    <row r="690" spans="1:33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</row>
    <row r="691" spans="1:33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</row>
    <row r="692" spans="1:33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</row>
    <row r="693" spans="1:3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</row>
    <row r="694" spans="1:33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</row>
    <row r="695" spans="1:33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</row>
    <row r="696" spans="1:33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</row>
    <row r="697" spans="1:33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</row>
    <row r="698" spans="1:33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</row>
    <row r="699" spans="1:33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</row>
    <row r="700" spans="1:33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</row>
    <row r="701" spans="1:33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</row>
    <row r="702" spans="1:33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</row>
    <row r="703" spans="1:3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</row>
    <row r="704" spans="1:33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</row>
    <row r="705" spans="1:33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</row>
    <row r="706" spans="1:33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</row>
    <row r="707" spans="1:33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</row>
    <row r="708" spans="1:33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</row>
    <row r="709" spans="1:33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</row>
    <row r="710" spans="1:33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</row>
    <row r="711" spans="1:33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</row>
    <row r="712" spans="1:33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</row>
    <row r="713" spans="1:3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</row>
    <row r="714" spans="1:33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</row>
    <row r="715" spans="1:33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</row>
    <row r="716" spans="1:33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</row>
    <row r="717" spans="1:33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</row>
    <row r="718" spans="1:33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</row>
    <row r="719" spans="1:33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</row>
    <row r="720" spans="1:33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</row>
    <row r="721" spans="1:33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</row>
    <row r="722" spans="1:33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</row>
    <row r="723" spans="1:3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</row>
    <row r="724" spans="1:33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</row>
    <row r="725" spans="1:33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</row>
    <row r="726" spans="1:33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</row>
    <row r="727" spans="1:33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</row>
    <row r="728" spans="1:33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</row>
    <row r="729" spans="1:33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</row>
    <row r="730" spans="1:33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</row>
    <row r="731" spans="1:33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</row>
    <row r="732" spans="1:33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</row>
    <row r="733" spans="1: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</row>
    <row r="734" spans="1:33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</row>
    <row r="735" spans="1:33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</row>
    <row r="736" spans="1:33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</row>
    <row r="737" spans="1:33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</row>
    <row r="738" spans="1:33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</row>
    <row r="739" spans="1:33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</row>
    <row r="740" spans="1:33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</row>
    <row r="741" spans="1:33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</row>
    <row r="742" spans="1:33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</row>
    <row r="743" spans="1:3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</row>
    <row r="744" spans="1:33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</row>
    <row r="745" spans="1:33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</row>
    <row r="746" spans="1:33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</row>
    <row r="747" spans="1:33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</row>
    <row r="748" spans="1:33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</row>
    <row r="749" spans="1:33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</row>
    <row r="750" spans="1:33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</row>
    <row r="751" spans="1:33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</row>
    <row r="752" spans="1:33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</row>
    <row r="753" spans="1:3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</row>
    <row r="754" spans="1:33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</row>
    <row r="755" spans="1:33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</row>
    <row r="756" spans="1:33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</row>
    <row r="757" spans="1:33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</row>
    <row r="758" spans="1:33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</row>
    <row r="759" spans="1:33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</row>
    <row r="760" spans="1:33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</row>
    <row r="761" spans="1:33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</row>
    <row r="762" spans="1:33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</row>
    <row r="763" spans="1:3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</row>
    <row r="764" spans="1:33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</row>
    <row r="765" spans="1:33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</row>
    <row r="766" spans="1:33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</row>
    <row r="767" spans="1:33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</row>
    <row r="768" spans="1:33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</row>
    <row r="769" spans="1:33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</row>
    <row r="770" spans="1:33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</row>
    <row r="771" spans="1:33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</row>
    <row r="772" spans="1:33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</row>
    <row r="773" spans="1:3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</row>
    <row r="774" spans="1:33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</row>
    <row r="775" spans="1:33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</row>
    <row r="776" spans="1:33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</row>
    <row r="777" spans="1:33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</row>
    <row r="778" spans="1:33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</row>
    <row r="779" spans="1:33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</row>
    <row r="780" spans="1:33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</row>
    <row r="781" spans="1:33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</row>
    <row r="782" spans="1:33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</row>
    <row r="783" spans="1:3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</row>
    <row r="784" spans="1:33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</row>
    <row r="785" spans="1:33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</row>
    <row r="786" spans="1:33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</row>
    <row r="787" spans="1:33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</row>
    <row r="788" spans="1:33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</row>
    <row r="789" spans="1:33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</row>
    <row r="790" spans="1:33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</row>
    <row r="791" spans="1:33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</row>
    <row r="792" spans="1:33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</row>
    <row r="793" spans="1:3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</row>
    <row r="794" spans="1:33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</row>
    <row r="795" spans="1:33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</row>
    <row r="796" spans="1:33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</row>
    <row r="797" spans="1:33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</row>
    <row r="798" spans="1:33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</row>
    <row r="799" spans="1:33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</row>
    <row r="800" spans="1:33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</row>
    <row r="801" spans="1:33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</row>
    <row r="802" spans="1:33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</row>
    <row r="803" spans="1:3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</row>
    <row r="804" spans="1:33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</row>
    <row r="805" spans="1:33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</row>
    <row r="806" spans="1:33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</row>
    <row r="807" spans="1:33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</row>
    <row r="808" spans="1:33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</row>
    <row r="809" spans="1:33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</row>
    <row r="810" spans="1:33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</row>
    <row r="811" spans="1:33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</row>
    <row r="812" spans="1:33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</row>
    <row r="813" spans="1:3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</row>
    <row r="814" spans="1:33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</row>
    <row r="815" spans="1:33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</row>
    <row r="816" spans="1:33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</row>
    <row r="817" spans="1:33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</row>
    <row r="818" spans="1:33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</row>
    <row r="819" spans="1:33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</row>
    <row r="820" spans="1:33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</row>
    <row r="821" spans="1:33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</row>
    <row r="822" spans="1:33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</row>
    <row r="823" spans="1:3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</row>
    <row r="824" spans="1:33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</row>
    <row r="825" spans="1:33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</row>
    <row r="826" spans="1:33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</row>
    <row r="827" spans="1:33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</row>
    <row r="828" spans="1:33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</row>
    <row r="829" spans="1:33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</row>
    <row r="830" spans="1:33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</row>
    <row r="831" spans="1:33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</row>
    <row r="832" spans="1:33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</row>
    <row r="833" spans="1: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</row>
    <row r="834" spans="1:33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</row>
    <row r="835" spans="1:33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</row>
    <row r="836" spans="1:33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</row>
    <row r="837" spans="1:33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</row>
    <row r="838" spans="1:33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</row>
    <row r="839" spans="1:33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</row>
    <row r="840" spans="1:33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</row>
    <row r="841" spans="1:33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</row>
    <row r="842" spans="1:33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</row>
    <row r="843" spans="1:3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</row>
    <row r="844" spans="1:33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</row>
    <row r="845" spans="1:33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</row>
    <row r="846" spans="1:33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</row>
    <row r="847" spans="1:33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</row>
    <row r="848" spans="1:33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</row>
    <row r="849" spans="1:33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</row>
    <row r="850" spans="1:33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</row>
    <row r="851" spans="1:33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</row>
    <row r="852" spans="1:33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</row>
    <row r="853" spans="1:3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</row>
    <row r="854" spans="1:33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</row>
    <row r="855" spans="1:33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</row>
    <row r="856" spans="1:33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</row>
    <row r="857" spans="1:33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</row>
    <row r="858" spans="1:33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</row>
    <row r="859" spans="1:33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</row>
    <row r="860" spans="1:33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</row>
    <row r="861" spans="1:33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</row>
    <row r="862" spans="1:33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</row>
    <row r="863" spans="1:3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</row>
    <row r="864" spans="1:33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</row>
    <row r="865" spans="1:33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</row>
    <row r="866" spans="1:33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</row>
    <row r="867" spans="1:33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</row>
    <row r="868" spans="1:33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</row>
    <row r="869" spans="1:33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</row>
    <row r="870" spans="1:33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</row>
    <row r="871" spans="1:33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</row>
    <row r="872" spans="1:33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</row>
    <row r="873" spans="1:3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</row>
    <row r="874" spans="1:33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</row>
    <row r="875" spans="1:33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</row>
    <row r="876" spans="1:33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</row>
    <row r="877" spans="1:33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</row>
    <row r="878" spans="1:33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</row>
    <row r="879" spans="1:33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</row>
    <row r="880" spans="1:33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</row>
    <row r="881" spans="1:33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</row>
    <row r="882" spans="1:33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</row>
    <row r="883" spans="1:3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</row>
    <row r="884" spans="1:33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</row>
    <row r="885" spans="1:33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</row>
    <row r="886" spans="1:33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</row>
    <row r="887" spans="1:33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</row>
    <row r="888" spans="1:33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</row>
    <row r="889" spans="1:33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</row>
    <row r="890" spans="1:33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</row>
    <row r="891" spans="1:33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</row>
    <row r="892" spans="1:33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</row>
    <row r="893" spans="1:3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</row>
    <row r="894" spans="1:33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</row>
    <row r="895" spans="1:33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</row>
    <row r="896" spans="1:33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</row>
    <row r="897" spans="1:33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</row>
    <row r="898" spans="1:33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</row>
    <row r="899" spans="1:33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</row>
    <row r="900" spans="1:33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</row>
    <row r="901" spans="1:33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</row>
    <row r="902" spans="1:33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</row>
    <row r="903" spans="1:3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</row>
    <row r="904" spans="1:33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</row>
    <row r="905" spans="1:33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</row>
    <row r="906" spans="1:33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</row>
    <row r="907" spans="1:33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</row>
    <row r="908" spans="1:33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</row>
    <row r="909" spans="1:33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</row>
    <row r="910" spans="1:33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</row>
    <row r="911" spans="1:33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</row>
    <row r="912" spans="1:33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</row>
    <row r="913" spans="1:3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</row>
    <row r="914" spans="1:33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</row>
    <row r="915" spans="1:33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</row>
    <row r="916" spans="1:33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</row>
    <row r="917" spans="1:33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</row>
    <row r="918" spans="1:33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</row>
    <row r="919" spans="1:33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</row>
    <row r="920" spans="1:33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</row>
    <row r="921" spans="1:33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</row>
    <row r="922" spans="1:33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</row>
    <row r="923" spans="1:3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</row>
    <row r="924" spans="1:33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</row>
    <row r="925" spans="1:33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</row>
    <row r="926" spans="1:33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</row>
    <row r="927" spans="1:33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</row>
    <row r="928" spans="1:33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</row>
    <row r="929" spans="1:33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</row>
    <row r="930" spans="1:33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</row>
    <row r="931" spans="1:33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</row>
    <row r="932" spans="1:33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</row>
    <row r="933" spans="1: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</row>
    <row r="934" spans="1:33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</row>
    <row r="935" spans="1:33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</row>
    <row r="936" spans="1:33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</row>
    <row r="937" spans="1:33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</row>
    <row r="938" spans="1:33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</row>
    <row r="939" spans="1:33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</row>
    <row r="940" spans="1:33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</row>
    <row r="941" spans="1:33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</row>
    <row r="942" spans="1:33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</row>
    <row r="943" spans="1:3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</row>
    <row r="944" spans="1:33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</row>
    <row r="945" spans="1:33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</row>
    <row r="946" spans="1:33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</row>
    <row r="947" spans="1:33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</row>
    <row r="948" spans="1:33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</row>
    <row r="949" spans="1:33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</row>
    <row r="950" spans="1:33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</row>
    <row r="951" spans="1:33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</row>
    <row r="952" spans="1:33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</row>
    <row r="953" spans="1:3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</row>
    <row r="954" spans="1:33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</row>
    <row r="955" spans="1:33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</row>
    <row r="956" spans="1:33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</row>
    <row r="957" spans="1:33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</row>
    <row r="958" spans="1:33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</row>
    <row r="959" spans="1:33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</row>
    <row r="960" spans="1:33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</row>
    <row r="961" spans="1:33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</row>
    <row r="962" spans="1:33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</row>
    <row r="963" spans="1:3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</row>
    <row r="964" spans="1:33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</row>
    <row r="965" spans="1:33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</row>
    <row r="966" spans="1:33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</row>
    <row r="967" spans="1:33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</row>
    <row r="968" spans="1:33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</row>
    <row r="969" spans="1:33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</row>
    <row r="970" spans="1:33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</row>
    <row r="971" spans="1:33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</row>
    <row r="972" spans="1:33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</row>
    <row r="973" spans="1:3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</row>
    <row r="974" spans="1:33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</row>
    <row r="975" spans="1:33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</row>
    <row r="976" spans="1:33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</row>
    <row r="977" spans="1:33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</row>
    <row r="978" spans="1:33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</row>
    <row r="979" spans="1:33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</row>
    <row r="980" spans="1:33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</row>
    <row r="981" spans="1:33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</row>
    <row r="982" spans="1:33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</row>
    <row r="983" spans="1:3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</row>
    <row r="984" spans="1:33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</row>
    <row r="985" spans="1:33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</row>
    <row r="986" spans="1:33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</row>
    <row r="987" spans="1:33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</row>
    <row r="988" spans="1:33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</row>
    <row r="989" spans="1:33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</row>
    <row r="990" spans="1:33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</row>
    <row r="991" spans="1:33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</row>
    <row r="992" spans="1:33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</row>
    <row r="993" spans="1:3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</row>
    <row r="994" spans="1:33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</row>
    <row r="995" spans="1:33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</row>
    <row r="996" spans="1:33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</row>
    <row r="997" spans="1:33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</row>
    <row r="998" spans="1:33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</row>
    <row r="999" spans="1:33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</row>
    <row r="1000" spans="1:33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</row>
    <row r="1001" spans="1:33" ht="14.2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</row>
    <row r="1002" spans="1:33" ht="14.2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</row>
    <row r="1003" spans="1:33" ht="14.2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</row>
    <row r="1004" spans="1:33" ht="14.2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</row>
    <row r="1005" spans="1:33" ht="14.2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</row>
    <row r="1006" spans="1:33" ht="14.2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</row>
    <row r="1007" spans="1:33" ht="14.2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</row>
    <row r="1008" spans="1:33" ht="14.2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</row>
    <row r="1009" spans="1:33" ht="14.2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</row>
    <row r="1010" spans="1:33" ht="14.2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</row>
    <row r="1011" spans="1:33" ht="14.2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</row>
  </sheetData>
  <mergeCells count="1">
    <mergeCell ref="E1:K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1010"/>
  <sheetViews>
    <sheetView workbookViewId="0"/>
  </sheetViews>
  <sheetFormatPr defaultColWidth="14.453125" defaultRowHeight="15" customHeight="1"/>
  <cols>
    <col min="1" max="1" width="17.81640625" customWidth="1"/>
    <col min="2" max="2" width="11" customWidth="1"/>
    <col min="3" max="3" width="22.54296875" customWidth="1"/>
    <col min="4" max="4" width="23" customWidth="1"/>
    <col min="5" max="5" width="42.08984375" customWidth="1"/>
    <col min="6" max="6" width="6.08984375" customWidth="1"/>
    <col min="7" max="7" width="8.453125" customWidth="1"/>
    <col min="8" max="8" width="36.81640625" customWidth="1"/>
    <col min="9" max="9" width="5.453125" customWidth="1"/>
    <col min="10" max="10" width="5.54296875" customWidth="1"/>
    <col min="11" max="11" width="29" customWidth="1"/>
    <col min="12" max="13" width="5.81640625" customWidth="1"/>
    <col min="14" max="14" width="34.26953125" customWidth="1"/>
    <col min="15" max="33" width="8.7265625" customWidth="1"/>
  </cols>
  <sheetData>
    <row r="1" spans="1:33" ht="14.25" customHeight="1">
      <c r="A1" s="1" t="s">
        <v>37</v>
      </c>
      <c r="B1" s="1" t="s">
        <v>38</v>
      </c>
      <c r="C1" s="1" t="s">
        <v>382</v>
      </c>
      <c r="D1" s="1" t="s">
        <v>40</v>
      </c>
      <c r="E1" s="50" t="s">
        <v>41</v>
      </c>
      <c r="F1" s="46"/>
      <c r="G1" s="46"/>
      <c r="H1" s="46"/>
      <c r="I1" s="46"/>
      <c r="J1" s="46"/>
      <c r="K1" s="46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</row>
    <row r="2" spans="1:33" ht="14.25" customHeight="1">
      <c r="A2" s="37"/>
      <c r="B2" s="37"/>
      <c r="C2" s="37"/>
      <c r="D2" s="37"/>
      <c r="E2" s="31" t="s">
        <v>42</v>
      </c>
      <c r="F2" s="2" t="s">
        <v>383</v>
      </c>
      <c r="G2" s="2" t="s">
        <v>44</v>
      </c>
      <c r="H2" s="2" t="s">
        <v>6</v>
      </c>
      <c r="I2" s="2"/>
      <c r="J2" s="2"/>
      <c r="K2" s="2" t="s">
        <v>45</v>
      </c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</row>
    <row r="3" spans="1:33" ht="14.25" customHeight="1">
      <c r="A3" s="37" t="s">
        <v>384</v>
      </c>
      <c r="B3" s="37" t="s">
        <v>47</v>
      </c>
      <c r="C3" s="37" t="s">
        <v>385</v>
      </c>
      <c r="D3" s="37" t="s">
        <v>215</v>
      </c>
      <c r="E3" s="37" t="s">
        <v>386</v>
      </c>
      <c r="F3" s="37">
        <v>7</v>
      </c>
      <c r="G3" s="37">
        <v>5.71</v>
      </c>
      <c r="H3" s="37">
        <v>8</v>
      </c>
      <c r="I3" s="37"/>
      <c r="J3" s="37"/>
      <c r="K3" s="37" t="s">
        <v>387</v>
      </c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</row>
    <row r="4" spans="1:33" ht="14.25" customHeight="1">
      <c r="A4" s="37" t="s">
        <v>388</v>
      </c>
      <c r="B4" s="37" t="s">
        <v>47</v>
      </c>
      <c r="C4" s="37" t="s">
        <v>385</v>
      </c>
      <c r="D4" s="37" t="s">
        <v>215</v>
      </c>
      <c r="E4" s="37" t="s">
        <v>389</v>
      </c>
      <c r="F4" s="37">
        <v>7</v>
      </c>
      <c r="G4" s="37">
        <v>4.01</v>
      </c>
      <c r="H4" s="37">
        <v>3</v>
      </c>
      <c r="I4" s="37"/>
      <c r="J4" s="37"/>
      <c r="K4" s="37" t="s">
        <v>271</v>
      </c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</row>
    <row r="5" spans="1:33" ht="14.25" customHeight="1">
      <c r="A5" s="37" t="s">
        <v>390</v>
      </c>
      <c r="B5" s="37" t="s">
        <v>47</v>
      </c>
      <c r="C5" s="37" t="s">
        <v>385</v>
      </c>
      <c r="D5" s="37" t="s">
        <v>391</v>
      </c>
      <c r="E5" s="37" t="s">
        <v>392</v>
      </c>
      <c r="F5" s="37">
        <v>2</v>
      </c>
      <c r="G5" s="37">
        <v>1.37</v>
      </c>
      <c r="H5" s="37">
        <v>1</v>
      </c>
      <c r="I5" s="37"/>
      <c r="J5" s="37"/>
      <c r="K5" s="37" t="s">
        <v>393</v>
      </c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</row>
    <row r="6" spans="1:33" ht="14.25" customHeight="1">
      <c r="A6" s="37" t="s">
        <v>394</v>
      </c>
      <c r="B6" s="37" t="s">
        <v>47</v>
      </c>
      <c r="C6" s="37" t="s">
        <v>385</v>
      </c>
      <c r="D6" s="37" t="s">
        <v>395</v>
      </c>
      <c r="E6" s="37" t="s">
        <v>396</v>
      </c>
      <c r="F6" s="37">
        <v>1</v>
      </c>
      <c r="G6" s="37">
        <v>1.42</v>
      </c>
      <c r="H6" s="37">
        <v>4</v>
      </c>
      <c r="I6" s="37"/>
      <c r="J6" s="37"/>
      <c r="K6" s="37" t="s">
        <v>397</v>
      </c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</row>
    <row r="7" spans="1:33" ht="14.25" customHeight="1">
      <c r="A7" s="37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</row>
    <row r="8" spans="1:33" ht="14.25" customHeight="1">
      <c r="A8" s="37"/>
      <c r="B8" s="37"/>
      <c r="C8" s="37"/>
      <c r="D8" s="37"/>
      <c r="E8" s="2" t="s">
        <v>56</v>
      </c>
      <c r="F8" s="2" t="s">
        <v>57</v>
      </c>
      <c r="G8" s="2" t="s">
        <v>58</v>
      </c>
      <c r="H8" s="2" t="s">
        <v>59</v>
      </c>
      <c r="I8" s="2" t="s">
        <v>57</v>
      </c>
      <c r="J8" s="2" t="s">
        <v>58</v>
      </c>
      <c r="K8" s="2" t="s">
        <v>60</v>
      </c>
      <c r="L8" s="2" t="s">
        <v>172</v>
      </c>
      <c r="M8" s="2" t="s">
        <v>383</v>
      </c>
      <c r="N8" s="2" t="s">
        <v>45</v>
      </c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</row>
    <row r="9" spans="1:33" ht="14.25" customHeight="1">
      <c r="A9" s="37" t="s">
        <v>398</v>
      </c>
      <c r="B9" s="37" t="s">
        <v>185</v>
      </c>
      <c r="C9" s="37" t="s">
        <v>63</v>
      </c>
      <c r="D9" s="37" t="s">
        <v>236</v>
      </c>
      <c r="E9" s="37" t="s">
        <v>399</v>
      </c>
      <c r="F9" s="37">
        <v>33</v>
      </c>
      <c r="G9" s="37">
        <v>0.65</v>
      </c>
      <c r="H9" s="37" t="s">
        <v>72</v>
      </c>
      <c r="I9" s="37">
        <v>9</v>
      </c>
      <c r="J9" s="37">
        <v>0.32</v>
      </c>
      <c r="K9" s="38">
        <v>45419</v>
      </c>
      <c r="L9" s="37">
        <v>5</v>
      </c>
      <c r="M9" s="37">
        <v>7</v>
      </c>
      <c r="N9" s="37" t="s">
        <v>400</v>
      </c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</row>
    <row r="10" spans="1:33" ht="14.25" customHeight="1">
      <c r="A10" s="37" t="s">
        <v>401</v>
      </c>
      <c r="B10" s="37" t="s">
        <v>174</v>
      </c>
      <c r="C10" s="37" t="s">
        <v>63</v>
      </c>
      <c r="D10" s="37" t="s">
        <v>80</v>
      </c>
      <c r="E10" s="37" t="s">
        <v>402</v>
      </c>
      <c r="F10" s="37">
        <v>67</v>
      </c>
      <c r="G10" s="37">
        <v>0.68</v>
      </c>
      <c r="H10" s="37" t="s">
        <v>403</v>
      </c>
      <c r="I10" s="37">
        <v>46</v>
      </c>
      <c r="J10" s="37">
        <v>0.4</v>
      </c>
      <c r="K10" s="37" t="s">
        <v>404</v>
      </c>
      <c r="L10" s="37">
        <v>17</v>
      </c>
      <c r="M10" s="37">
        <v>3</v>
      </c>
      <c r="N10" s="37" t="s">
        <v>405</v>
      </c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</row>
    <row r="11" spans="1:33" ht="14.25" customHeight="1">
      <c r="A11" s="37"/>
      <c r="B11" s="37"/>
      <c r="C11" s="37"/>
      <c r="D11" s="37"/>
      <c r="E11" s="2"/>
      <c r="F11" s="2"/>
      <c r="G11" s="2"/>
      <c r="H11" s="2"/>
      <c r="I11" s="2"/>
      <c r="J11" s="2"/>
      <c r="K11" s="2"/>
      <c r="L11" s="2"/>
      <c r="M11" s="2"/>
      <c r="N11" s="2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</row>
    <row r="12" spans="1:33" ht="14.25" customHeight="1">
      <c r="A12" s="37"/>
      <c r="B12" s="37"/>
      <c r="C12" s="37"/>
      <c r="D12" s="37"/>
      <c r="E12" s="2" t="s">
        <v>94</v>
      </c>
      <c r="F12" s="2" t="s">
        <v>57</v>
      </c>
      <c r="G12" s="2" t="s">
        <v>58</v>
      </c>
      <c r="H12" s="2" t="s">
        <v>95</v>
      </c>
      <c r="I12" s="2" t="s">
        <v>57</v>
      </c>
      <c r="J12" s="2">
        <v>5</v>
      </c>
      <c r="K12" s="2" t="s">
        <v>96</v>
      </c>
      <c r="L12" s="2" t="s">
        <v>341</v>
      </c>
      <c r="M12" s="2" t="s">
        <v>342</v>
      </c>
      <c r="N12" s="2" t="s">
        <v>31</v>
      </c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</row>
    <row r="13" spans="1:33" ht="14.25" customHeight="1">
      <c r="A13" s="37" t="s">
        <v>406</v>
      </c>
      <c r="B13" s="37" t="s">
        <v>113</v>
      </c>
      <c r="C13" s="37" t="s">
        <v>101</v>
      </c>
      <c r="D13" s="37" t="s">
        <v>114</v>
      </c>
      <c r="E13" s="37" t="s">
        <v>407</v>
      </c>
      <c r="F13" s="37">
        <v>535</v>
      </c>
      <c r="G13" s="37">
        <v>0.81</v>
      </c>
      <c r="H13" s="37" t="s">
        <v>408</v>
      </c>
      <c r="I13" s="37">
        <v>101</v>
      </c>
      <c r="J13" s="37">
        <v>0.66</v>
      </c>
      <c r="K13" s="37" t="s">
        <v>409</v>
      </c>
      <c r="L13" s="37">
        <v>99</v>
      </c>
      <c r="M13" s="37">
        <v>72</v>
      </c>
      <c r="N13" s="37">
        <v>19</v>
      </c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</row>
    <row r="14" spans="1:33" ht="14.25" customHeight="1">
      <c r="A14" s="37" t="s">
        <v>410</v>
      </c>
      <c r="B14" s="37" t="s">
        <v>220</v>
      </c>
      <c r="C14" s="37" t="s">
        <v>357</v>
      </c>
      <c r="D14" s="37" t="s">
        <v>80</v>
      </c>
      <c r="E14" s="37" t="s">
        <v>411</v>
      </c>
      <c r="F14" s="37">
        <v>538</v>
      </c>
      <c r="G14" s="37">
        <v>0.74</v>
      </c>
      <c r="H14" s="37" t="s">
        <v>412</v>
      </c>
      <c r="I14" s="37">
        <v>101</v>
      </c>
      <c r="J14" s="37">
        <v>0.68</v>
      </c>
      <c r="K14" s="37" t="s">
        <v>413</v>
      </c>
      <c r="L14" s="37">
        <v>91</v>
      </c>
      <c r="M14" s="37">
        <v>41</v>
      </c>
      <c r="N14" s="37">
        <v>4</v>
      </c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</row>
    <row r="15" spans="1:33" ht="14.25" customHeight="1">
      <c r="A15" s="37" t="s">
        <v>414</v>
      </c>
      <c r="B15" s="37" t="s">
        <v>107</v>
      </c>
      <c r="C15" s="37" t="s">
        <v>101</v>
      </c>
      <c r="D15" s="37" t="s">
        <v>108</v>
      </c>
      <c r="E15" s="37" t="s">
        <v>415</v>
      </c>
      <c r="F15" s="37">
        <v>591</v>
      </c>
      <c r="G15" s="37">
        <v>0.78</v>
      </c>
      <c r="H15" s="37" t="s">
        <v>416</v>
      </c>
      <c r="I15" s="37">
        <v>57</v>
      </c>
      <c r="J15" s="37">
        <v>0.61</v>
      </c>
      <c r="K15" s="37" t="s">
        <v>417</v>
      </c>
      <c r="L15" s="37">
        <v>100</v>
      </c>
      <c r="M15" s="37">
        <v>56</v>
      </c>
      <c r="N15" s="37">
        <v>11</v>
      </c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</row>
    <row r="16" spans="1:33" ht="14.25" customHeight="1">
      <c r="A16" s="37" t="s">
        <v>418</v>
      </c>
      <c r="B16" s="37" t="s">
        <v>214</v>
      </c>
      <c r="C16" s="37" t="s">
        <v>357</v>
      </c>
      <c r="D16" s="37" t="s">
        <v>419</v>
      </c>
      <c r="E16" s="37" t="s">
        <v>420</v>
      </c>
      <c r="F16" s="37">
        <v>340</v>
      </c>
      <c r="G16" s="37">
        <v>0.75</v>
      </c>
      <c r="H16" s="37" t="s">
        <v>421</v>
      </c>
      <c r="I16" s="37">
        <v>77</v>
      </c>
      <c r="J16" s="37">
        <v>0.65</v>
      </c>
      <c r="K16" s="37" t="s">
        <v>422</v>
      </c>
      <c r="L16" s="37">
        <v>85</v>
      </c>
      <c r="M16" s="37">
        <v>54</v>
      </c>
      <c r="N16" s="37">
        <v>9</v>
      </c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</row>
    <row r="17" spans="1:33" ht="14.25" customHeight="1">
      <c r="A17" s="37" t="s">
        <v>423</v>
      </c>
      <c r="B17" s="37" t="s">
        <v>214</v>
      </c>
      <c r="C17" s="37" t="s">
        <v>357</v>
      </c>
      <c r="D17" s="37" t="s">
        <v>424</v>
      </c>
      <c r="E17" s="37" t="s">
        <v>425</v>
      </c>
      <c r="F17" s="37">
        <v>336</v>
      </c>
      <c r="G17" s="37">
        <v>0.68</v>
      </c>
      <c r="H17" s="37" t="s">
        <v>426</v>
      </c>
      <c r="I17" s="37">
        <v>66</v>
      </c>
      <c r="J17" s="37">
        <v>0.68</v>
      </c>
      <c r="K17" s="37" t="s">
        <v>427</v>
      </c>
      <c r="L17" s="37">
        <v>64</v>
      </c>
      <c r="M17" s="37">
        <v>37</v>
      </c>
      <c r="N17" s="37">
        <v>2</v>
      </c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</row>
    <row r="18" spans="1:33" ht="14.25" customHeight="1">
      <c r="A18" s="37"/>
      <c r="B18" s="37"/>
      <c r="C18" s="37"/>
      <c r="D18" s="37"/>
      <c r="E18" s="2"/>
      <c r="F18" s="2"/>
      <c r="G18" s="2"/>
      <c r="H18" s="2"/>
      <c r="I18" s="2"/>
      <c r="J18" s="2"/>
      <c r="K18" s="2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</row>
    <row r="19" spans="1:33" ht="14.25" customHeight="1">
      <c r="A19" s="37"/>
      <c r="B19" s="37"/>
      <c r="C19" s="37"/>
      <c r="D19" s="37"/>
      <c r="E19" s="2" t="s">
        <v>118</v>
      </c>
      <c r="F19" s="2" t="s">
        <v>44</v>
      </c>
      <c r="G19" s="2" t="s">
        <v>119</v>
      </c>
      <c r="H19" s="2" t="s">
        <v>35</v>
      </c>
      <c r="I19" s="2"/>
      <c r="J19" s="2"/>
      <c r="K19" s="2" t="s">
        <v>120</v>
      </c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</row>
    <row r="20" spans="1:33" ht="14.25" customHeight="1">
      <c r="A20" s="37" t="s">
        <v>428</v>
      </c>
      <c r="B20" s="37" t="s">
        <v>122</v>
      </c>
      <c r="C20" s="37" t="s">
        <v>123</v>
      </c>
      <c r="D20" s="37" t="s">
        <v>358</v>
      </c>
      <c r="E20" s="37" t="s">
        <v>429</v>
      </c>
      <c r="F20" s="37">
        <v>18.91</v>
      </c>
      <c r="G20" s="37">
        <v>19</v>
      </c>
      <c r="H20" s="37">
        <v>0.95</v>
      </c>
      <c r="I20" s="37"/>
      <c r="J20" s="37"/>
      <c r="K20" s="39">
        <v>0.7</v>
      </c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</row>
    <row r="21" spans="1:33" ht="14.25" customHeight="1">
      <c r="A21" s="37"/>
      <c r="B21" s="37"/>
      <c r="C21" s="37"/>
      <c r="D21" s="37"/>
      <c r="E21" s="31"/>
      <c r="F21" s="31"/>
      <c r="G21" s="31"/>
      <c r="H21" s="31"/>
      <c r="I21" s="31"/>
      <c r="J21" s="31"/>
      <c r="K21" s="31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</row>
    <row r="22" spans="1:33" ht="14.25" customHeight="1">
      <c r="A22" s="37"/>
      <c r="B22" s="37"/>
      <c r="C22" s="37"/>
      <c r="D22" s="37"/>
      <c r="E22" s="31" t="s">
        <v>125</v>
      </c>
      <c r="F22" s="32" t="s">
        <v>57</v>
      </c>
      <c r="G22" s="32" t="s">
        <v>58</v>
      </c>
      <c r="H22" s="31" t="s">
        <v>126</v>
      </c>
      <c r="I22" s="32" t="s">
        <v>57</v>
      </c>
      <c r="J22" s="32" t="s">
        <v>58</v>
      </c>
      <c r="K22" s="31" t="s">
        <v>127</v>
      </c>
      <c r="L22" s="37" t="s">
        <v>128</v>
      </c>
      <c r="M22" s="37" t="s">
        <v>58</v>
      </c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</row>
    <row r="23" spans="1:33" ht="14.25" customHeight="1">
      <c r="A23" s="37" t="s">
        <v>430</v>
      </c>
      <c r="B23" s="37" t="s">
        <v>137</v>
      </c>
      <c r="C23" s="37" t="s">
        <v>431</v>
      </c>
      <c r="D23" s="37" t="s">
        <v>132</v>
      </c>
      <c r="E23" s="37" t="s">
        <v>432</v>
      </c>
      <c r="F23" s="37">
        <v>525</v>
      </c>
      <c r="G23" s="37">
        <v>0.81</v>
      </c>
      <c r="H23" s="37" t="s">
        <v>433</v>
      </c>
      <c r="I23" s="37">
        <v>27</v>
      </c>
      <c r="J23" s="37">
        <v>0.39</v>
      </c>
      <c r="K23" s="37" t="s">
        <v>434</v>
      </c>
      <c r="L23" s="37">
        <v>101</v>
      </c>
      <c r="M23" s="37">
        <v>0.78</v>
      </c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</row>
    <row r="24" spans="1:33" ht="14.25" customHeight="1">
      <c r="A24" s="37" t="s">
        <v>435</v>
      </c>
      <c r="B24" s="37" t="s">
        <v>235</v>
      </c>
      <c r="C24" s="37" t="s">
        <v>431</v>
      </c>
      <c r="D24" s="37" t="s">
        <v>80</v>
      </c>
      <c r="E24" s="37" t="s">
        <v>436</v>
      </c>
      <c r="F24" s="37">
        <v>430</v>
      </c>
      <c r="G24" s="37">
        <v>0.79</v>
      </c>
      <c r="H24" s="37" t="s">
        <v>437</v>
      </c>
      <c r="I24" s="37">
        <v>33</v>
      </c>
      <c r="J24" s="37">
        <v>0.46</v>
      </c>
      <c r="K24" s="37" t="s">
        <v>438</v>
      </c>
      <c r="L24" s="37">
        <v>89</v>
      </c>
      <c r="M24" s="37">
        <v>0.77</v>
      </c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</row>
    <row r="25" spans="1:33" ht="14.25" customHeight="1">
      <c r="A25" s="37" t="s">
        <v>439</v>
      </c>
      <c r="B25" s="37" t="s">
        <v>137</v>
      </c>
      <c r="C25" s="37" t="s">
        <v>431</v>
      </c>
      <c r="D25" s="37" t="s">
        <v>54</v>
      </c>
      <c r="E25" s="37" t="s">
        <v>440</v>
      </c>
      <c r="F25" s="37">
        <v>141</v>
      </c>
      <c r="G25" s="37">
        <v>0.67</v>
      </c>
      <c r="H25" s="37" t="s">
        <v>441</v>
      </c>
      <c r="I25" s="37">
        <v>12</v>
      </c>
      <c r="J25" s="37">
        <v>0.39</v>
      </c>
      <c r="K25" s="37" t="s">
        <v>442</v>
      </c>
      <c r="L25" s="37">
        <v>17</v>
      </c>
      <c r="M25" s="37">
        <v>0.49</v>
      </c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</row>
    <row r="26" spans="1:33" ht="14.25" customHeight="1">
      <c r="A26" s="2"/>
      <c r="B26" s="2"/>
      <c r="C26" s="2"/>
      <c r="D26" s="2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</row>
    <row r="27" spans="1:33" ht="14.25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</row>
    <row r="28" spans="1:33" ht="14.25" customHeight="1">
      <c r="A28" s="37"/>
      <c r="B28" s="37"/>
      <c r="C28" s="37">
        <f>COUNTIF($C$2:$C$26,"Center Back")</f>
        <v>2</v>
      </c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</row>
    <row r="29" spans="1:33" ht="14.25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</row>
    <row r="30" spans="1:33" ht="14.25" customHeight="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</row>
    <row r="31" spans="1:33" ht="14.25" customHeight="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</row>
    <row r="32" spans="1:33" ht="14.25" customHeight="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</row>
    <row r="33" spans="1:33" ht="14.25" customHeight="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</row>
    <row r="34" spans="1:33" ht="14.25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</row>
    <row r="35" spans="1:33" ht="14.25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</row>
    <row r="36" spans="1:33" ht="14.25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</row>
    <row r="37" spans="1:33" ht="14.25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</row>
    <row r="38" spans="1:33" ht="14.25" customHeight="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</row>
    <row r="39" spans="1:33" ht="14.25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</row>
    <row r="40" spans="1:33" ht="14.25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</row>
    <row r="41" spans="1:33" ht="14.25" customHeight="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</row>
    <row r="42" spans="1:33" ht="14.25" customHeight="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</row>
    <row r="43" spans="1:33" ht="14.25" customHeight="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</row>
    <row r="44" spans="1:33" ht="14.25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</row>
    <row r="45" spans="1:33" ht="14.25" customHeight="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</row>
    <row r="46" spans="1:33" ht="14.25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</row>
    <row r="47" spans="1:33" ht="14.25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</row>
    <row r="48" spans="1:33" ht="14.25" customHeight="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</row>
    <row r="49" spans="1:33" ht="14.25" customHeight="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</row>
    <row r="50" spans="1:33" ht="14.25" customHeight="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</row>
    <row r="51" spans="1:33" ht="14.25" customHeight="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</row>
    <row r="52" spans="1:33" ht="14.25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</row>
    <row r="53" spans="1:33" ht="14.25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</row>
    <row r="54" spans="1:33" ht="14.25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</row>
    <row r="55" spans="1:33" ht="14.25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</row>
    <row r="56" spans="1:33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</row>
    <row r="57" spans="1:33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</row>
    <row r="58" spans="1:33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</row>
    <row r="59" spans="1:33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</row>
    <row r="60" spans="1:33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</row>
    <row r="61" spans="1:33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</row>
    <row r="62" spans="1:33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</row>
    <row r="63" spans="1:33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</row>
    <row r="64" spans="1:33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</row>
    <row r="65" spans="1:33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</row>
    <row r="66" spans="1:33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</row>
    <row r="67" spans="1:33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</row>
    <row r="68" spans="1:33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</row>
    <row r="69" spans="1:33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</row>
    <row r="70" spans="1:33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</row>
    <row r="71" spans="1:33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</row>
    <row r="72" spans="1:33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</row>
    <row r="73" spans="1:33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</row>
    <row r="74" spans="1:33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</row>
    <row r="75" spans="1:33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</row>
    <row r="76" spans="1:33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</row>
    <row r="77" spans="1:33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</row>
    <row r="78" spans="1:33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</row>
    <row r="79" spans="1:33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</row>
    <row r="80" spans="1:33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</row>
    <row r="81" spans="1:33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</row>
    <row r="82" spans="1:33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</row>
    <row r="83" spans="1:33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</row>
    <row r="84" spans="1:33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</row>
    <row r="85" spans="1:33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</row>
    <row r="86" spans="1:33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</row>
    <row r="87" spans="1:33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</row>
    <row r="88" spans="1:33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</row>
    <row r="89" spans="1:33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</row>
    <row r="90" spans="1:33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</row>
    <row r="91" spans="1:33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</row>
    <row r="92" spans="1:33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</row>
    <row r="93" spans="1:33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</row>
    <row r="94" spans="1:33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</row>
    <row r="95" spans="1:33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</row>
    <row r="96" spans="1:33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</row>
    <row r="97" spans="1:33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</row>
    <row r="98" spans="1:33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</row>
    <row r="99" spans="1:33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</row>
    <row r="100" spans="1:33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</row>
    <row r="101" spans="1:33" ht="14.25" customHeight="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</row>
    <row r="102" spans="1:33" ht="14.25" customHeight="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</row>
    <row r="103" spans="1:33" ht="14.25" customHeight="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</row>
    <row r="104" spans="1:33" ht="14.25" customHeight="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</row>
    <row r="105" spans="1:33" ht="14.25" customHeight="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</row>
    <row r="106" spans="1:33" ht="14.25" customHeight="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</row>
    <row r="107" spans="1:33" ht="14.25" customHeight="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</row>
    <row r="108" spans="1:33" ht="14.25" customHeight="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</row>
    <row r="109" spans="1:33" ht="14.25" customHeight="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</row>
    <row r="110" spans="1:33" ht="14.25" customHeight="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</row>
    <row r="111" spans="1:33" ht="14.25" customHeight="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</row>
    <row r="112" spans="1:33" ht="14.25" customHeight="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</row>
    <row r="113" spans="1:33" ht="14.25" customHeight="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</row>
    <row r="114" spans="1:33" ht="14.25" customHeight="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</row>
    <row r="115" spans="1:33" ht="14.25" customHeight="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</row>
    <row r="116" spans="1:33" ht="14.25" customHeight="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</row>
    <row r="117" spans="1:33" ht="14.25" customHeight="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</row>
    <row r="118" spans="1:33" ht="14.25" customHeight="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</row>
    <row r="119" spans="1:33" ht="14.25" customHeight="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</row>
    <row r="120" spans="1:33" ht="14.25" customHeight="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</row>
    <row r="121" spans="1:33" ht="14.25" customHeight="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</row>
    <row r="122" spans="1:33" ht="14.25" customHeight="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</row>
    <row r="123" spans="1:33" ht="14.25" customHeight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</row>
    <row r="124" spans="1:33" ht="14.25" customHeight="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</row>
    <row r="125" spans="1:33" ht="14.25" customHeight="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</row>
    <row r="126" spans="1:33" ht="14.25" customHeight="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</row>
    <row r="127" spans="1:33" ht="14.25" customHeight="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</row>
    <row r="128" spans="1:33" ht="14.25" customHeight="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</row>
    <row r="129" spans="1:33" ht="14.25" customHeight="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</row>
    <row r="130" spans="1:33" ht="14.25" customHeight="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</row>
    <row r="131" spans="1:33" ht="14.25" customHeight="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</row>
    <row r="132" spans="1:33" ht="14.25" customHeight="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</row>
    <row r="133" spans="1:33" ht="14.25" customHeight="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</row>
    <row r="134" spans="1:33" ht="14.25" customHeight="1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</row>
    <row r="135" spans="1:33" ht="14.25" customHeight="1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</row>
    <row r="136" spans="1:33" ht="14.25" customHeight="1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</row>
    <row r="137" spans="1:33" ht="14.25" customHeight="1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</row>
    <row r="138" spans="1:33" ht="14.25" customHeight="1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</row>
    <row r="139" spans="1:33" ht="14.25" customHeight="1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</row>
    <row r="140" spans="1:33" ht="14.25" customHeight="1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</row>
    <row r="141" spans="1:33" ht="14.25" customHeight="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</row>
    <row r="142" spans="1:33" ht="14.25" customHeight="1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</row>
    <row r="143" spans="1:33" ht="14.25" customHeight="1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</row>
    <row r="144" spans="1:33" ht="14.25" customHeight="1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</row>
    <row r="145" spans="1:33" ht="14.25" customHeight="1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</row>
    <row r="146" spans="1:33" ht="14.25" customHeight="1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</row>
    <row r="147" spans="1:33" ht="14.25" customHeight="1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</row>
    <row r="148" spans="1:33" ht="14.25" customHeight="1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</row>
    <row r="149" spans="1:33" ht="14.25" customHeigh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</row>
    <row r="150" spans="1:33" ht="14.25" customHeight="1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</row>
    <row r="151" spans="1:33" ht="14.25" customHeight="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</row>
    <row r="152" spans="1:33" ht="14.25" customHeight="1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</row>
    <row r="153" spans="1:33" ht="14.25" customHeight="1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</row>
    <row r="154" spans="1:33" ht="14.25" customHeight="1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</row>
    <row r="155" spans="1:33" ht="14.25" customHeight="1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</row>
    <row r="156" spans="1:33" ht="14.25" customHeight="1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</row>
    <row r="157" spans="1:33" ht="14.25" customHeight="1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</row>
    <row r="158" spans="1:33" ht="14.25" customHeight="1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</row>
    <row r="159" spans="1:33" ht="14.25" customHeight="1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</row>
    <row r="160" spans="1:33" ht="14.25" customHeight="1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</row>
    <row r="161" spans="1:33" ht="14.25" customHeigh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</row>
    <row r="162" spans="1:33" ht="14.25" customHeight="1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</row>
    <row r="163" spans="1:33" ht="14.25" customHeigh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</row>
    <row r="164" spans="1:33" ht="14.25" customHeight="1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</row>
    <row r="165" spans="1:33" ht="14.25" customHeight="1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</row>
    <row r="166" spans="1:33" ht="14.25" customHeigh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</row>
    <row r="167" spans="1:33" ht="14.25" customHeight="1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</row>
    <row r="168" spans="1:33" ht="14.25" customHeight="1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</row>
    <row r="169" spans="1:33" ht="14.25" customHeight="1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</row>
    <row r="170" spans="1:33" ht="14.25" customHeight="1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</row>
    <row r="171" spans="1:33" ht="14.25" customHeight="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</row>
    <row r="172" spans="1:33" ht="14.25" customHeight="1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</row>
    <row r="173" spans="1:33" ht="14.25" customHeight="1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</row>
    <row r="174" spans="1:33" ht="14.25" customHeigh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</row>
    <row r="175" spans="1:33" ht="14.25" customHeight="1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</row>
    <row r="176" spans="1:33" ht="14.25" customHeigh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</row>
    <row r="177" spans="1:33" ht="14.25" customHeigh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</row>
    <row r="178" spans="1:33" ht="14.25" customHeight="1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</row>
    <row r="179" spans="1:33" ht="14.25" customHeight="1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</row>
    <row r="180" spans="1:33" ht="14.25" customHeigh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</row>
    <row r="181" spans="1:33" ht="14.25" customHeigh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</row>
    <row r="182" spans="1:33" ht="14.25" customHeight="1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</row>
    <row r="183" spans="1:33" ht="14.25" customHeigh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</row>
    <row r="184" spans="1:33" ht="14.25" customHeigh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</row>
    <row r="185" spans="1:33" ht="14.25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</row>
    <row r="186" spans="1:33" ht="14.25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</row>
    <row r="187" spans="1:33" ht="14.25" customHeigh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</row>
    <row r="188" spans="1:33" ht="14.25" customHeigh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</row>
    <row r="189" spans="1:33" ht="14.25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</row>
    <row r="190" spans="1:33" ht="14.25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</row>
    <row r="191" spans="1:33" ht="14.25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</row>
    <row r="192" spans="1:33" ht="14.25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</row>
    <row r="193" spans="1:33" ht="14.25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</row>
    <row r="194" spans="1:33" ht="14.25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</row>
    <row r="195" spans="1:33" ht="14.25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</row>
    <row r="196" spans="1:33" ht="14.25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</row>
    <row r="197" spans="1:33" ht="14.25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</row>
    <row r="198" spans="1:33" ht="14.25" customHeigh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</row>
    <row r="199" spans="1:33" ht="14.25" customHeigh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</row>
    <row r="200" spans="1:33" ht="14.25" customHeigh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</row>
    <row r="201" spans="1:33" ht="14.25" customHeigh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</row>
    <row r="202" spans="1:33" ht="14.25" customHeigh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</row>
    <row r="203" spans="1:33" ht="14.25" customHeigh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</row>
    <row r="204" spans="1:33" ht="14.25" customHeigh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</row>
    <row r="205" spans="1:33" ht="14.25" customHeigh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</row>
    <row r="206" spans="1:33" ht="14.25" customHeigh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</row>
    <row r="207" spans="1:33" ht="14.25" customHeigh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</row>
    <row r="208" spans="1:33" ht="14.25" customHeigh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</row>
    <row r="209" spans="1:33" ht="14.25" customHeigh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</row>
    <row r="210" spans="1:33" ht="14.25" customHeigh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</row>
    <row r="211" spans="1:33" ht="14.25" customHeigh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</row>
    <row r="212" spans="1:33" ht="14.25" customHeigh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</row>
    <row r="213" spans="1:33" ht="14.25" customHeigh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</row>
    <row r="214" spans="1:33" ht="14.25" customHeigh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</row>
    <row r="215" spans="1:33" ht="14.25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</row>
    <row r="216" spans="1:33" ht="14.25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</row>
    <row r="217" spans="1:33" ht="14.25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</row>
    <row r="218" spans="1:33" ht="14.25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</row>
    <row r="219" spans="1:33" ht="14.25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</row>
    <row r="220" spans="1:33" ht="14.25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</row>
    <row r="221" spans="1:33" ht="14.25" customHeight="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</row>
    <row r="222" spans="1:33" ht="14.25" customHeight="1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</row>
    <row r="223" spans="1:33" ht="14.25" customHeight="1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</row>
    <row r="224" spans="1:33" ht="14.25" customHeight="1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</row>
    <row r="225" spans="1:33" ht="14.25" customHeight="1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</row>
    <row r="226" spans="1:33" ht="14.25" customHeight="1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</row>
    <row r="227" spans="1:33" ht="14.25" customHeight="1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</row>
    <row r="228" spans="1:33" ht="14.25" customHeight="1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</row>
    <row r="229" spans="1:33" ht="14.25" customHeight="1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</row>
    <row r="230" spans="1:33" ht="14.25" customHeight="1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</row>
    <row r="231" spans="1:33" ht="14.25" customHeight="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</row>
    <row r="232" spans="1:33" ht="14.25" customHeight="1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</row>
    <row r="233" spans="1:33" ht="14.25" customHeight="1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</row>
    <row r="234" spans="1:33" ht="14.25" customHeight="1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</row>
    <row r="235" spans="1:33" ht="14.25" customHeight="1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</row>
    <row r="236" spans="1:33" ht="14.25" customHeight="1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</row>
    <row r="237" spans="1:33" ht="14.25" customHeight="1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</row>
    <row r="238" spans="1:33" ht="14.25" customHeight="1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</row>
    <row r="239" spans="1:33" ht="14.25" customHeight="1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</row>
    <row r="240" spans="1:33" ht="14.25" customHeight="1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</row>
    <row r="241" spans="1:33" ht="14.25" customHeight="1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</row>
    <row r="242" spans="1:33" ht="14.25" customHeight="1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</row>
    <row r="243" spans="1:33" ht="14.25" customHeight="1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</row>
    <row r="244" spans="1:33" ht="14.25" customHeight="1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37"/>
      <c r="AG244" s="37"/>
    </row>
    <row r="245" spans="1:33" ht="14.25" customHeight="1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37"/>
      <c r="AG245" s="37"/>
    </row>
    <row r="246" spans="1:33" ht="14.25" customHeight="1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37"/>
      <c r="AG246" s="37"/>
    </row>
    <row r="247" spans="1:33" ht="14.25" customHeight="1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37"/>
      <c r="AG247" s="37"/>
    </row>
    <row r="248" spans="1:33" ht="14.25" customHeight="1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37"/>
      <c r="AG248" s="37"/>
    </row>
    <row r="249" spans="1:33" ht="14.25" customHeight="1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37"/>
      <c r="AG249" s="37"/>
    </row>
    <row r="250" spans="1:33" ht="14.25" customHeight="1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37"/>
      <c r="AG250" s="37"/>
    </row>
    <row r="251" spans="1:33" ht="14.25" customHeight="1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37"/>
      <c r="AG251" s="37"/>
    </row>
    <row r="252" spans="1:33" ht="14.25" customHeight="1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37"/>
      <c r="AG252" s="37"/>
    </row>
    <row r="253" spans="1:33" ht="14.25" customHeight="1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37"/>
      <c r="AG253" s="37"/>
    </row>
    <row r="254" spans="1:33" ht="14.25" customHeight="1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37"/>
      <c r="AG254" s="37"/>
    </row>
    <row r="255" spans="1:33" ht="14.25" customHeight="1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</row>
    <row r="256" spans="1:33" ht="14.25" customHeight="1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37"/>
      <c r="AG256" s="37"/>
    </row>
    <row r="257" spans="1:33" ht="14.25" customHeight="1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37"/>
      <c r="AG257" s="37"/>
    </row>
    <row r="258" spans="1:33" ht="14.25" customHeight="1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</row>
    <row r="259" spans="1:33" ht="14.25" customHeight="1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37"/>
      <c r="AG259" s="37"/>
    </row>
    <row r="260" spans="1:33" ht="14.25" customHeight="1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37"/>
      <c r="AG260" s="37"/>
    </row>
    <row r="261" spans="1:33" ht="14.25" customHeight="1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37"/>
      <c r="AG261" s="37"/>
    </row>
    <row r="262" spans="1:33" ht="14.25" customHeight="1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  <c r="AG262" s="37"/>
    </row>
    <row r="263" spans="1:33" ht="14.25" customHeight="1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37"/>
      <c r="AG263" s="37"/>
    </row>
    <row r="264" spans="1:33" ht="14.25" customHeight="1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37"/>
      <c r="AG264" s="37"/>
    </row>
    <row r="265" spans="1:33" ht="14.25" customHeight="1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37"/>
      <c r="AG265" s="37"/>
    </row>
    <row r="266" spans="1:33" ht="14.25" customHeight="1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37"/>
      <c r="AG266" s="37"/>
    </row>
    <row r="267" spans="1:33" ht="14.25" customHeight="1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37"/>
      <c r="AG267" s="37"/>
    </row>
    <row r="268" spans="1:33" ht="14.25" customHeight="1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37"/>
      <c r="AG268" s="37"/>
    </row>
    <row r="269" spans="1:33" ht="14.25" customHeight="1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37"/>
      <c r="AG269" s="37"/>
    </row>
    <row r="270" spans="1:33" ht="14.25" customHeight="1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37"/>
      <c r="AG270" s="37"/>
    </row>
    <row r="271" spans="1:33" ht="14.25" customHeight="1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37"/>
      <c r="AG271" s="37"/>
    </row>
    <row r="272" spans="1:33" ht="14.25" customHeight="1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37"/>
      <c r="AG272" s="37"/>
    </row>
    <row r="273" spans="1:33" ht="14.25" customHeight="1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37"/>
      <c r="AG273" s="37"/>
    </row>
    <row r="274" spans="1:33" ht="14.25" customHeight="1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37"/>
      <c r="AG274" s="37"/>
    </row>
    <row r="275" spans="1:33" ht="14.25" customHeight="1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37"/>
      <c r="AG275" s="37"/>
    </row>
    <row r="276" spans="1:33" ht="14.25" customHeight="1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37"/>
      <c r="AG276" s="37"/>
    </row>
    <row r="277" spans="1:33" ht="14.25" customHeight="1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37"/>
      <c r="AG277" s="37"/>
    </row>
    <row r="278" spans="1:33" ht="14.25" customHeight="1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37"/>
      <c r="AG278" s="37"/>
    </row>
    <row r="279" spans="1:33" ht="14.25" customHeight="1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37"/>
      <c r="AG279" s="37"/>
    </row>
    <row r="280" spans="1:33" ht="14.25" customHeight="1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37"/>
      <c r="AG280" s="37"/>
    </row>
    <row r="281" spans="1:33" ht="14.25" customHeight="1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37"/>
      <c r="AG281" s="37"/>
    </row>
    <row r="282" spans="1:33" ht="14.25" customHeight="1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  <c r="AG282" s="37"/>
    </row>
    <row r="283" spans="1:33" ht="14.25" customHeight="1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37"/>
      <c r="AG283" s="37"/>
    </row>
    <row r="284" spans="1:33" ht="14.25" customHeight="1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37"/>
      <c r="AG284" s="37"/>
    </row>
    <row r="285" spans="1:33" ht="14.25" customHeight="1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37"/>
      <c r="AG285" s="37"/>
    </row>
    <row r="286" spans="1:33" ht="14.25" customHeight="1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37"/>
      <c r="AG286" s="37"/>
    </row>
    <row r="287" spans="1:33" ht="14.25" customHeight="1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37"/>
      <c r="AG287" s="37"/>
    </row>
    <row r="288" spans="1:33" ht="14.25" customHeight="1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37"/>
      <c r="AG288" s="37"/>
    </row>
    <row r="289" spans="1:33" ht="14.25" customHeight="1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37"/>
      <c r="AG289" s="37"/>
    </row>
    <row r="290" spans="1:33" ht="14.25" customHeight="1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37"/>
      <c r="AG290" s="37"/>
    </row>
    <row r="291" spans="1:33" ht="14.25" customHeight="1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37"/>
      <c r="AG291" s="37"/>
    </row>
    <row r="292" spans="1:33" ht="14.25" customHeight="1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37"/>
      <c r="AG292" s="37"/>
    </row>
    <row r="293" spans="1:33" ht="14.25" customHeight="1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37"/>
    </row>
    <row r="294" spans="1:33" ht="14.25" customHeight="1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37"/>
      <c r="AG294" s="37"/>
    </row>
    <row r="295" spans="1:33" ht="14.25" customHeight="1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37"/>
      <c r="AG295" s="37"/>
    </row>
    <row r="296" spans="1:33" ht="14.25" customHeight="1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37"/>
    </row>
    <row r="297" spans="1:33" ht="14.25" customHeight="1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37"/>
      <c r="AG297" s="37"/>
    </row>
    <row r="298" spans="1:33" ht="14.25" customHeight="1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37"/>
      <c r="AG298" s="37"/>
    </row>
    <row r="299" spans="1:33" ht="14.25" customHeight="1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37"/>
      <c r="AG299" s="37"/>
    </row>
    <row r="300" spans="1:33" ht="14.25" customHeight="1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37"/>
      <c r="AG300" s="37"/>
    </row>
    <row r="301" spans="1:33" ht="14.25" customHeight="1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37"/>
      <c r="AG301" s="37"/>
    </row>
    <row r="302" spans="1:33" ht="14.25" customHeight="1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37"/>
      <c r="AG302" s="37"/>
    </row>
    <row r="303" spans="1:33" ht="14.25" customHeight="1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37"/>
      <c r="AG303" s="37"/>
    </row>
    <row r="304" spans="1:33" ht="14.25" customHeight="1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37"/>
      <c r="AG304" s="37"/>
    </row>
    <row r="305" spans="1:33" ht="14.25" customHeight="1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37"/>
      <c r="AG305" s="37"/>
    </row>
    <row r="306" spans="1:33" ht="14.25" customHeight="1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37"/>
      <c r="AG306" s="37"/>
    </row>
    <row r="307" spans="1:33" ht="14.25" customHeight="1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37"/>
      <c r="AG307" s="37"/>
    </row>
    <row r="308" spans="1:33" ht="14.25" customHeight="1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37"/>
      <c r="AG308" s="37"/>
    </row>
    <row r="309" spans="1:33" ht="14.25" customHeight="1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37"/>
      <c r="AG309" s="37"/>
    </row>
    <row r="310" spans="1:33" ht="14.25" customHeight="1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37"/>
      <c r="AG310" s="37"/>
    </row>
    <row r="311" spans="1:33" ht="14.25" customHeight="1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37"/>
      <c r="AG311" s="37"/>
    </row>
    <row r="312" spans="1:33" ht="14.25" customHeight="1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37"/>
      <c r="AG312" s="37"/>
    </row>
    <row r="313" spans="1:33" ht="14.25" customHeight="1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37"/>
      <c r="AG313" s="37"/>
    </row>
    <row r="314" spans="1:33" ht="14.25" customHeight="1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37"/>
      <c r="AG314" s="37"/>
    </row>
    <row r="315" spans="1:33" ht="14.25" customHeight="1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37"/>
      <c r="AG315" s="37"/>
    </row>
    <row r="316" spans="1:33" ht="14.25" customHeight="1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37"/>
      <c r="AG316" s="37"/>
    </row>
    <row r="317" spans="1:33" ht="14.25" customHeight="1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37"/>
      <c r="AG317" s="37"/>
    </row>
    <row r="318" spans="1:33" ht="14.25" customHeight="1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37"/>
      <c r="AG318" s="37"/>
    </row>
    <row r="319" spans="1:33" ht="14.25" customHeight="1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37"/>
      <c r="AG319" s="37"/>
    </row>
    <row r="320" spans="1:33" ht="14.25" customHeight="1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37"/>
      <c r="AG320" s="37"/>
    </row>
    <row r="321" spans="1:33" ht="14.25" customHeight="1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37"/>
      <c r="AG321" s="37"/>
    </row>
    <row r="322" spans="1:33" ht="14.25" customHeight="1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37"/>
      <c r="AG322" s="37"/>
    </row>
    <row r="323" spans="1:33" ht="14.25" customHeight="1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37"/>
      <c r="AG323" s="37"/>
    </row>
    <row r="324" spans="1:33" ht="14.25" customHeight="1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37"/>
      <c r="AG324" s="37"/>
    </row>
    <row r="325" spans="1:33" ht="14.25" customHeight="1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37"/>
      <c r="AG325" s="37"/>
    </row>
    <row r="326" spans="1:33" ht="14.25" customHeight="1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37"/>
      <c r="AG326" s="37"/>
    </row>
    <row r="327" spans="1:33" ht="14.25" customHeight="1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37"/>
      <c r="AG327" s="37"/>
    </row>
    <row r="328" spans="1:33" ht="14.25" customHeight="1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37"/>
      <c r="AG328" s="37"/>
    </row>
    <row r="329" spans="1:33" ht="14.25" customHeight="1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37"/>
      <c r="AG329" s="37"/>
    </row>
    <row r="330" spans="1:33" ht="14.25" customHeight="1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37"/>
      <c r="AG330" s="37"/>
    </row>
    <row r="331" spans="1:33" ht="14.25" customHeight="1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37"/>
    </row>
    <row r="332" spans="1:33" ht="14.25" customHeight="1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37"/>
      <c r="AG332" s="37"/>
    </row>
    <row r="333" spans="1:33" ht="14.25" customHeight="1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37"/>
      <c r="AG333" s="37"/>
    </row>
    <row r="334" spans="1:33" ht="14.25" customHeight="1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37"/>
    </row>
    <row r="335" spans="1:33" ht="14.25" customHeight="1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37"/>
      <c r="AG335" s="37"/>
    </row>
    <row r="336" spans="1:33" ht="14.25" customHeight="1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37"/>
      <c r="AG336" s="37"/>
    </row>
    <row r="337" spans="1:33" ht="14.25" customHeight="1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37"/>
      <c r="AG337" s="37"/>
    </row>
    <row r="338" spans="1:33" ht="14.25" customHeight="1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37"/>
      <c r="AG338" s="37"/>
    </row>
    <row r="339" spans="1:33" ht="14.25" customHeight="1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37"/>
      <c r="AG339" s="37"/>
    </row>
    <row r="340" spans="1:33" ht="14.25" customHeight="1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37"/>
      <c r="AG340" s="37"/>
    </row>
    <row r="341" spans="1:33" ht="14.25" customHeight="1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37"/>
      <c r="AG341" s="37"/>
    </row>
    <row r="342" spans="1:33" ht="14.25" customHeight="1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37"/>
      <c r="AG342" s="37"/>
    </row>
    <row r="343" spans="1:33" ht="14.25" customHeight="1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37"/>
      <c r="AG343" s="37"/>
    </row>
    <row r="344" spans="1:33" ht="14.25" customHeight="1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37"/>
      <c r="AG344" s="37"/>
    </row>
    <row r="345" spans="1:33" ht="14.25" customHeight="1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37"/>
      <c r="AG345" s="37"/>
    </row>
    <row r="346" spans="1:33" ht="14.25" customHeight="1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37"/>
      <c r="AG346" s="37"/>
    </row>
    <row r="347" spans="1:33" ht="14.25" customHeight="1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37"/>
      <c r="AG347" s="37"/>
    </row>
    <row r="348" spans="1:33" ht="14.25" customHeight="1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37"/>
      <c r="AG348" s="37"/>
    </row>
    <row r="349" spans="1:33" ht="14.25" customHeight="1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  <c r="AF349" s="37"/>
      <c r="AG349" s="37"/>
    </row>
    <row r="350" spans="1:33" ht="14.25" customHeight="1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F350" s="37"/>
      <c r="AG350" s="37"/>
    </row>
    <row r="351" spans="1:33" ht="14.25" customHeight="1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37"/>
      <c r="AG351" s="37"/>
    </row>
    <row r="352" spans="1:33" ht="14.25" customHeight="1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37"/>
      <c r="AG352" s="37"/>
    </row>
    <row r="353" spans="1:33" ht="14.25" customHeight="1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F353" s="37"/>
      <c r="AG353" s="37"/>
    </row>
    <row r="354" spans="1:33" ht="14.25" customHeight="1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  <c r="AE354" s="37"/>
      <c r="AF354" s="37"/>
      <c r="AG354" s="37"/>
    </row>
    <row r="355" spans="1:33" ht="14.25" customHeight="1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  <c r="AE355" s="37"/>
      <c r="AF355" s="37"/>
      <c r="AG355" s="37"/>
    </row>
    <row r="356" spans="1:33" ht="14.25" customHeight="1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  <c r="AE356" s="37"/>
      <c r="AF356" s="37"/>
      <c r="AG356" s="37"/>
    </row>
    <row r="357" spans="1:33" ht="14.25" customHeight="1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  <c r="AE357" s="37"/>
      <c r="AF357" s="37"/>
      <c r="AG357" s="37"/>
    </row>
    <row r="358" spans="1:33" ht="14.25" customHeight="1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  <c r="AE358" s="37"/>
      <c r="AF358" s="37"/>
      <c r="AG358" s="37"/>
    </row>
    <row r="359" spans="1:33" ht="14.25" customHeight="1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  <c r="AE359" s="37"/>
      <c r="AF359" s="37"/>
      <c r="AG359" s="37"/>
    </row>
    <row r="360" spans="1:33" ht="14.25" customHeight="1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  <c r="AF360" s="37"/>
      <c r="AG360" s="37"/>
    </row>
    <row r="361" spans="1:33" ht="14.25" customHeight="1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  <c r="AF361" s="37"/>
      <c r="AG361" s="37"/>
    </row>
    <row r="362" spans="1:33" ht="14.25" customHeight="1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  <c r="AF362" s="37"/>
      <c r="AG362" s="37"/>
    </row>
    <row r="363" spans="1:33" ht="14.25" customHeight="1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  <c r="AE363" s="37"/>
      <c r="AF363" s="37"/>
      <c r="AG363" s="37"/>
    </row>
    <row r="364" spans="1:33" ht="14.25" customHeight="1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  <c r="AE364" s="37"/>
      <c r="AF364" s="37"/>
      <c r="AG364" s="37"/>
    </row>
    <row r="365" spans="1:33" ht="14.25" customHeight="1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  <c r="AE365" s="37"/>
      <c r="AF365" s="37"/>
      <c r="AG365" s="37"/>
    </row>
    <row r="366" spans="1:33" ht="14.25" customHeight="1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  <c r="AE366" s="37"/>
      <c r="AF366" s="37"/>
      <c r="AG366" s="37"/>
    </row>
    <row r="367" spans="1:33" ht="14.25" customHeight="1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  <c r="AE367" s="37"/>
      <c r="AF367" s="37"/>
      <c r="AG367" s="37"/>
    </row>
    <row r="368" spans="1:33" ht="14.25" customHeight="1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  <c r="AE368" s="37"/>
      <c r="AF368" s="37"/>
      <c r="AG368" s="37"/>
    </row>
    <row r="369" spans="1:33" ht="14.25" customHeight="1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37"/>
      <c r="AG369" s="37"/>
    </row>
    <row r="370" spans="1:33" ht="14.25" customHeight="1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F370" s="37"/>
      <c r="AG370" s="37"/>
    </row>
    <row r="371" spans="1:33" ht="14.25" customHeight="1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  <c r="AE371" s="37"/>
      <c r="AF371" s="37"/>
      <c r="AG371" s="37"/>
    </row>
    <row r="372" spans="1:33" ht="14.25" customHeight="1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  <c r="AG372" s="37"/>
    </row>
    <row r="373" spans="1:33" ht="14.25" customHeight="1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  <c r="AE373" s="37"/>
      <c r="AF373" s="37"/>
      <c r="AG373" s="37"/>
    </row>
    <row r="374" spans="1:33" ht="14.25" customHeight="1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  <c r="AE374" s="37"/>
      <c r="AF374" s="37"/>
      <c r="AG374" s="37"/>
    </row>
    <row r="375" spans="1:33" ht="14.25" customHeight="1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  <c r="AE375" s="37"/>
      <c r="AF375" s="37"/>
      <c r="AG375" s="37"/>
    </row>
    <row r="376" spans="1:33" ht="14.25" customHeight="1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37"/>
      <c r="AG376" s="37"/>
    </row>
    <row r="377" spans="1:33" ht="14.25" customHeight="1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  <c r="AE377" s="37"/>
      <c r="AF377" s="37"/>
      <c r="AG377" s="37"/>
    </row>
    <row r="378" spans="1:33" ht="14.25" customHeight="1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  <c r="AE378" s="37"/>
      <c r="AF378" s="37"/>
      <c r="AG378" s="37"/>
    </row>
    <row r="379" spans="1:33" ht="14.25" customHeight="1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  <c r="AE379" s="37"/>
      <c r="AF379" s="37"/>
      <c r="AG379" s="37"/>
    </row>
    <row r="380" spans="1:33" ht="14.25" customHeight="1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  <c r="AE380" s="37"/>
      <c r="AF380" s="37"/>
      <c r="AG380" s="37"/>
    </row>
    <row r="381" spans="1:33" ht="14.25" customHeight="1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  <c r="AE381" s="37"/>
      <c r="AF381" s="37"/>
      <c r="AG381" s="37"/>
    </row>
    <row r="382" spans="1:33" ht="14.25" customHeight="1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  <c r="AE382" s="37"/>
      <c r="AF382" s="37"/>
      <c r="AG382" s="37"/>
    </row>
    <row r="383" spans="1:33" ht="14.25" customHeight="1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  <c r="AE383" s="37"/>
      <c r="AF383" s="37"/>
      <c r="AG383" s="37"/>
    </row>
    <row r="384" spans="1:33" ht="14.25" customHeight="1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  <c r="AF384" s="37"/>
      <c r="AG384" s="37"/>
    </row>
    <row r="385" spans="1:33" ht="14.25" customHeight="1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F385" s="37"/>
      <c r="AG385" s="37"/>
    </row>
    <row r="386" spans="1:33" ht="14.25" customHeight="1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F386" s="37"/>
      <c r="AG386" s="37"/>
    </row>
    <row r="387" spans="1:33" ht="14.25" customHeight="1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  <c r="AE387" s="37"/>
      <c r="AF387" s="37"/>
      <c r="AG387" s="37"/>
    </row>
    <row r="388" spans="1:33" ht="14.25" customHeight="1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</row>
    <row r="389" spans="1:33" ht="14.25" customHeight="1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  <c r="AE389" s="37"/>
      <c r="AF389" s="37"/>
      <c r="AG389" s="37"/>
    </row>
    <row r="390" spans="1:33" ht="14.25" customHeight="1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F390" s="37"/>
      <c r="AG390" s="37"/>
    </row>
    <row r="391" spans="1:33" ht="14.25" customHeight="1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37"/>
      <c r="AG391" s="37"/>
    </row>
    <row r="392" spans="1:33" ht="14.25" customHeight="1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  <c r="AF392" s="37"/>
      <c r="AG392" s="37"/>
    </row>
    <row r="393" spans="1:33" ht="14.25" customHeight="1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  <c r="AF393" s="37"/>
      <c r="AG393" s="37"/>
    </row>
    <row r="394" spans="1:33" ht="14.25" customHeight="1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  <c r="AE394" s="37"/>
      <c r="AF394" s="37"/>
      <c r="AG394" s="37"/>
    </row>
    <row r="395" spans="1:33" ht="14.25" customHeight="1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  <c r="AE395" s="37"/>
      <c r="AF395" s="37"/>
      <c r="AG395" s="37"/>
    </row>
    <row r="396" spans="1:33" ht="14.25" customHeight="1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  <c r="AE396" s="37"/>
      <c r="AF396" s="37"/>
      <c r="AG396" s="37"/>
    </row>
    <row r="397" spans="1:33" ht="14.25" customHeight="1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E397" s="37"/>
      <c r="AF397" s="37"/>
      <c r="AG397" s="37"/>
    </row>
    <row r="398" spans="1:33" ht="14.25" customHeight="1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  <c r="AE398" s="37"/>
      <c r="AF398" s="37"/>
      <c r="AG398" s="37"/>
    </row>
    <row r="399" spans="1:33" ht="14.25" customHeight="1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  <c r="AE399" s="37"/>
      <c r="AF399" s="37"/>
      <c r="AG399" s="37"/>
    </row>
    <row r="400" spans="1:33" ht="14.25" customHeight="1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  <c r="AE400" s="37"/>
      <c r="AF400" s="37"/>
      <c r="AG400" s="37"/>
    </row>
    <row r="401" spans="1:33" ht="14.25" customHeight="1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  <c r="AE401" s="37"/>
      <c r="AF401" s="37"/>
      <c r="AG401" s="37"/>
    </row>
    <row r="402" spans="1:33" ht="14.25" customHeight="1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  <c r="AE402" s="37"/>
      <c r="AF402" s="37"/>
      <c r="AG402" s="37"/>
    </row>
    <row r="403" spans="1:33" ht="14.25" customHeight="1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  <c r="AE403" s="37"/>
      <c r="AF403" s="37"/>
      <c r="AG403" s="37"/>
    </row>
    <row r="404" spans="1:33" ht="14.25" customHeight="1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  <c r="AE404" s="37"/>
      <c r="AF404" s="37"/>
      <c r="AG404" s="37"/>
    </row>
    <row r="405" spans="1:33" ht="14.25" customHeight="1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  <c r="AE405" s="37"/>
      <c r="AF405" s="37"/>
      <c r="AG405" s="37"/>
    </row>
    <row r="406" spans="1:33" ht="14.25" customHeight="1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F406" s="37"/>
      <c r="AG406" s="37"/>
    </row>
    <row r="407" spans="1:33" ht="14.25" customHeight="1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  <c r="AG407" s="37"/>
    </row>
    <row r="408" spans="1:33" ht="14.25" customHeight="1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  <c r="AE408" s="37"/>
      <c r="AF408" s="37"/>
      <c r="AG408" s="37"/>
    </row>
    <row r="409" spans="1:33" ht="14.25" customHeight="1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  <c r="AE409" s="37"/>
      <c r="AF409" s="37"/>
      <c r="AG409" s="37"/>
    </row>
    <row r="410" spans="1:33" ht="14.25" customHeight="1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  <c r="AG410" s="37"/>
    </row>
    <row r="411" spans="1:33" ht="14.25" customHeight="1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  <c r="AE411" s="37"/>
      <c r="AF411" s="37"/>
      <c r="AG411" s="37"/>
    </row>
    <row r="412" spans="1:33" ht="14.25" customHeight="1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F412" s="37"/>
      <c r="AG412" s="37"/>
    </row>
    <row r="413" spans="1:33" ht="14.25" customHeight="1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F413" s="37"/>
      <c r="AG413" s="37"/>
    </row>
    <row r="414" spans="1:33" ht="14.25" customHeight="1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F414" s="37"/>
      <c r="AG414" s="37"/>
    </row>
    <row r="415" spans="1:33" ht="14.25" customHeight="1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  <c r="AE415" s="37"/>
      <c r="AF415" s="37"/>
      <c r="AG415" s="37"/>
    </row>
    <row r="416" spans="1:33" ht="14.25" customHeight="1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  <c r="AE416" s="37"/>
      <c r="AF416" s="37"/>
      <c r="AG416" s="37"/>
    </row>
    <row r="417" spans="1:33" ht="14.25" customHeight="1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  <c r="AE417" s="37"/>
      <c r="AF417" s="37"/>
      <c r="AG417" s="37"/>
    </row>
    <row r="418" spans="1:33" ht="14.25" customHeight="1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  <c r="AE418" s="37"/>
      <c r="AF418" s="37"/>
      <c r="AG418" s="37"/>
    </row>
    <row r="419" spans="1:33" ht="14.25" customHeight="1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E419" s="37"/>
      <c r="AF419" s="37"/>
      <c r="AG419" s="37"/>
    </row>
    <row r="420" spans="1:33" ht="14.25" customHeight="1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  <c r="AE420" s="37"/>
      <c r="AF420" s="37"/>
      <c r="AG420" s="37"/>
    </row>
    <row r="421" spans="1:33" ht="14.25" customHeight="1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  <c r="AE421" s="37"/>
      <c r="AF421" s="37"/>
      <c r="AG421" s="37"/>
    </row>
    <row r="422" spans="1:33" ht="14.25" customHeight="1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  <c r="AE422" s="37"/>
      <c r="AF422" s="37"/>
      <c r="AG422" s="37"/>
    </row>
    <row r="423" spans="1:33" ht="14.25" customHeight="1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  <c r="AE423" s="37"/>
      <c r="AF423" s="37"/>
      <c r="AG423" s="37"/>
    </row>
    <row r="424" spans="1:33" ht="14.25" customHeight="1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  <c r="AE424" s="37"/>
      <c r="AF424" s="37"/>
      <c r="AG424" s="37"/>
    </row>
    <row r="425" spans="1:33" ht="14.25" customHeight="1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  <c r="AE425" s="37"/>
      <c r="AF425" s="37"/>
      <c r="AG425" s="37"/>
    </row>
    <row r="426" spans="1:33" ht="14.25" customHeight="1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  <c r="AE426" s="37"/>
      <c r="AF426" s="37"/>
      <c r="AG426" s="37"/>
    </row>
    <row r="427" spans="1:33" ht="14.25" customHeight="1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  <c r="AE427" s="37"/>
      <c r="AF427" s="37"/>
      <c r="AG427" s="37"/>
    </row>
    <row r="428" spans="1:33" ht="14.25" customHeight="1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  <c r="AE428" s="37"/>
      <c r="AF428" s="37"/>
      <c r="AG428" s="37"/>
    </row>
    <row r="429" spans="1:33" ht="14.25" customHeight="1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  <c r="AE429" s="37"/>
      <c r="AF429" s="37"/>
      <c r="AG429" s="37"/>
    </row>
    <row r="430" spans="1:33" ht="14.25" customHeight="1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  <c r="AE430" s="37"/>
      <c r="AF430" s="37"/>
      <c r="AG430" s="37"/>
    </row>
    <row r="431" spans="1:33" ht="14.25" customHeight="1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  <c r="AE431" s="37"/>
      <c r="AF431" s="37"/>
      <c r="AG431" s="37"/>
    </row>
    <row r="432" spans="1:33" ht="14.25" customHeight="1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  <c r="AE432" s="37"/>
      <c r="AF432" s="37"/>
      <c r="AG432" s="37"/>
    </row>
    <row r="433" spans="1:33" ht="14.25" customHeight="1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  <c r="AE433" s="37"/>
      <c r="AF433" s="37"/>
      <c r="AG433" s="37"/>
    </row>
    <row r="434" spans="1:33" ht="14.25" customHeight="1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  <c r="AE434" s="37"/>
      <c r="AF434" s="37"/>
      <c r="AG434" s="37"/>
    </row>
    <row r="435" spans="1:33" ht="14.25" customHeight="1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  <c r="AE435" s="37"/>
      <c r="AF435" s="37"/>
      <c r="AG435" s="37"/>
    </row>
    <row r="436" spans="1:33" ht="14.25" customHeight="1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  <c r="AE436" s="37"/>
      <c r="AF436" s="37"/>
      <c r="AG436" s="37"/>
    </row>
    <row r="437" spans="1:33" ht="14.25" customHeight="1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  <c r="AE437" s="37"/>
      <c r="AF437" s="37"/>
      <c r="AG437" s="37"/>
    </row>
    <row r="438" spans="1:33" ht="14.25" customHeight="1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  <c r="AE438" s="37"/>
      <c r="AF438" s="37"/>
      <c r="AG438" s="37"/>
    </row>
    <row r="439" spans="1:33" ht="14.25" customHeight="1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  <c r="AE439" s="37"/>
      <c r="AF439" s="37"/>
      <c r="AG439" s="37"/>
    </row>
    <row r="440" spans="1:33" ht="14.25" customHeight="1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  <c r="AE440" s="37"/>
      <c r="AF440" s="37"/>
      <c r="AG440" s="37"/>
    </row>
    <row r="441" spans="1:33" ht="14.25" customHeight="1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  <c r="AE441" s="37"/>
      <c r="AF441" s="37"/>
      <c r="AG441" s="37"/>
    </row>
    <row r="442" spans="1:33" ht="14.25" customHeight="1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  <c r="AE442" s="37"/>
      <c r="AF442" s="37"/>
      <c r="AG442" s="37"/>
    </row>
    <row r="443" spans="1:33" ht="14.25" customHeight="1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  <c r="AE443" s="37"/>
      <c r="AF443" s="37"/>
      <c r="AG443" s="37"/>
    </row>
    <row r="444" spans="1:33" ht="14.25" customHeight="1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  <c r="AE444" s="37"/>
      <c r="AF444" s="37"/>
      <c r="AG444" s="37"/>
    </row>
    <row r="445" spans="1:33" ht="14.25" customHeight="1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  <c r="AG445" s="37"/>
    </row>
    <row r="446" spans="1:33" ht="14.25" customHeight="1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  <c r="AE446" s="37"/>
      <c r="AF446" s="37"/>
      <c r="AG446" s="37"/>
    </row>
    <row r="447" spans="1:33" ht="14.25" customHeight="1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  <c r="AE447" s="37"/>
      <c r="AF447" s="37"/>
      <c r="AG447" s="37"/>
    </row>
    <row r="448" spans="1:33" ht="14.25" customHeight="1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  <c r="AF448" s="37"/>
      <c r="AG448" s="37"/>
    </row>
    <row r="449" spans="1:33" ht="14.25" customHeight="1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  <c r="AE449" s="37"/>
      <c r="AF449" s="37"/>
      <c r="AG449" s="37"/>
    </row>
    <row r="450" spans="1:33" ht="14.25" customHeight="1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  <c r="AE450" s="37"/>
      <c r="AF450" s="37"/>
      <c r="AG450" s="37"/>
    </row>
    <row r="451" spans="1:33" ht="14.25" customHeight="1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  <c r="AE451" s="37"/>
      <c r="AF451" s="37"/>
      <c r="AG451" s="37"/>
    </row>
    <row r="452" spans="1:33" ht="14.25" customHeight="1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  <c r="AE452" s="37"/>
      <c r="AF452" s="37"/>
      <c r="AG452" s="37"/>
    </row>
    <row r="453" spans="1:33" ht="14.25" customHeight="1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  <c r="AE453" s="37"/>
      <c r="AF453" s="37"/>
      <c r="AG453" s="37"/>
    </row>
    <row r="454" spans="1:33" ht="14.25" customHeight="1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  <c r="AE454" s="37"/>
      <c r="AF454" s="37"/>
      <c r="AG454" s="37"/>
    </row>
    <row r="455" spans="1:33" ht="14.25" customHeight="1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  <c r="AE455" s="37"/>
      <c r="AF455" s="37"/>
      <c r="AG455" s="37"/>
    </row>
    <row r="456" spans="1:33" ht="14.25" customHeight="1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  <c r="AE456" s="37"/>
      <c r="AF456" s="37"/>
      <c r="AG456" s="37"/>
    </row>
    <row r="457" spans="1:33" ht="14.25" customHeight="1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  <c r="AE457" s="37"/>
      <c r="AF457" s="37"/>
      <c r="AG457" s="37"/>
    </row>
    <row r="458" spans="1:33" ht="14.25" customHeight="1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  <c r="AE458" s="37"/>
      <c r="AF458" s="37"/>
      <c r="AG458" s="37"/>
    </row>
    <row r="459" spans="1:33" ht="14.25" customHeight="1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  <c r="AE459" s="37"/>
      <c r="AF459" s="37"/>
      <c r="AG459" s="37"/>
    </row>
    <row r="460" spans="1:33" ht="14.25" customHeight="1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  <c r="AE460" s="37"/>
      <c r="AF460" s="37"/>
      <c r="AG460" s="37"/>
    </row>
    <row r="461" spans="1:33" ht="14.25" customHeight="1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  <c r="AE461" s="37"/>
      <c r="AF461" s="37"/>
      <c r="AG461" s="37"/>
    </row>
    <row r="462" spans="1:33" ht="14.25" customHeight="1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  <c r="AE462" s="37"/>
      <c r="AF462" s="37"/>
      <c r="AG462" s="37"/>
    </row>
    <row r="463" spans="1:33" ht="14.25" customHeight="1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  <c r="AE463" s="37"/>
      <c r="AF463" s="37"/>
      <c r="AG463" s="37"/>
    </row>
    <row r="464" spans="1:33" ht="14.25" customHeight="1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  <c r="AE464" s="37"/>
      <c r="AF464" s="37"/>
      <c r="AG464" s="37"/>
    </row>
    <row r="465" spans="1:33" ht="14.25" customHeight="1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  <c r="AE465" s="37"/>
      <c r="AF465" s="37"/>
      <c r="AG465" s="37"/>
    </row>
    <row r="466" spans="1:33" ht="14.25" customHeight="1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  <c r="AE466" s="37"/>
      <c r="AF466" s="37"/>
      <c r="AG466" s="37"/>
    </row>
    <row r="467" spans="1:33" ht="14.25" customHeight="1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  <c r="AE467" s="37"/>
      <c r="AF467" s="37"/>
      <c r="AG467" s="37"/>
    </row>
    <row r="468" spans="1:33" ht="14.25" customHeight="1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  <c r="AE468" s="37"/>
      <c r="AF468" s="37"/>
      <c r="AG468" s="37"/>
    </row>
    <row r="469" spans="1:33" ht="14.25" customHeight="1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  <c r="AE469" s="37"/>
      <c r="AF469" s="37"/>
      <c r="AG469" s="37"/>
    </row>
    <row r="470" spans="1:33" ht="14.25" customHeight="1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  <c r="AE470" s="37"/>
      <c r="AF470" s="37"/>
      <c r="AG470" s="37"/>
    </row>
    <row r="471" spans="1:33" ht="14.25" customHeight="1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  <c r="AE471" s="37"/>
      <c r="AF471" s="37"/>
      <c r="AG471" s="37"/>
    </row>
    <row r="472" spans="1:33" ht="14.25" customHeight="1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  <c r="AE472" s="37"/>
      <c r="AF472" s="37"/>
      <c r="AG472" s="37"/>
    </row>
    <row r="473" spans="1:33" ht="14.25" customHeight="1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  <c r="AE473" s="37"/>
      <c r="AF473" s="37"/>
      <c r="AG473" s="37"/>
    </row>
    <row r="474" spans="1:33" ht="14.25" customHeight="1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  <c r="AE474" s="37"/>
      <c r="AF474" s="37"/>
      <c r="AG474" s="37"/>
    </row>
    <row r="475" spans="1:33" ht="14.25" customHeight="1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  <c r="AE475" s="37"/>
      <c r="AF475" s="37"/>
      <c r="AG475" s="37"/>
    </row>
    <row r="476" spans="1:33" ht="14.25" customHeight="1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  <c r="AE476" s="37"/>
      <c r="AF476" s="37"/>
      <c r="AG476" s="37"/>
    </row>
    <row r="477" spans="1:33" ht="14.25" customHeight="1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  <c r="AE477" s="37"/>
      <c r="AF477" s="37"/>
      <c r="AG477" s="37"/>
    </row>
    <row r="478" spans="1:33" ht="14.25" customHeight="1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  <c r="AE478" s="37"/>
      <c r="AF478" s="37"/>
      <c r="AG478" s="37"/>
    </row>
    <row r="479" spans="1:33" ht="14.25" customHeight="1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  <c r="AE479" s="37"/>
      <c r="AF479" s="37"/>
      <c r="AG479" s="37"/>
    </row>
    <row r="480" spans="1:33" ht="14.25" customHeight="1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  <c r="AE480" s="37"/>
      <c r="AF480" s="37"/>
      <c r="AG480" s="37"/>
    </row>
    <row r="481" spans="1:33" ht="14.25" customHeight="1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  <c r="AE481" s="37"/>
      <c r="AF481" s="37"/>
      <c r="AG481" s="37"/>
    </row>
    <row r="482" spans="1:33" ht="14.25" customHeight="1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  <c r="AE482" s="37"/>
      <c r="AF482" s="37"/>
      <c r="AG482" s="37"/>
    </row>
    <row r="483" spans="1:33" ht="14.25" customHeight="1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  <c r="AE483" s="37"/>
      <c r="AF483" s="37"/>
      <c r="AG483" s="37"/>
    </row>
    <row r="484" spans="1:33" ht="14.25" customHeight="1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  <c r="AE484" s="37"/>
      <c r="AF484" s="37"/>
      <c r="AG484" s="37"/>
    </row>
    <row r="485" spans="1:33" ht="14.25" customHeight="1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  <c r="AE485" s="37"/>
      <c r="AF485" s="37"/>
      <c r="AG485" s="37"/>
    </row>
    <row r="486" spans="1:33" ht="14.25" customHeight="1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  <c r="AE486" s="37"/>
      <c r="AF486" s="37"/>
      <c r="AG486" s="37"/>
    </row>
    <row r="487" spans="1:33" ht="14.25" customHeight="1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  <c r="AE487" s="37"/>
      <c r="AF487" s="37"/>
      <c r="AG487" s="37"/>
    </row>
    <row r="488" spans="1:33" ht="14.25" customHeight="1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  <c r="AE488" s="37"/>
      <c r="AF488" s="37"/>
      <c r="AG488" s="37"/>
    </row>
    <row r="489" spans="1:33" ht="14.25" customHeight="1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  <c r="AE489" s="37"/>
      <c r="AF489" s="37"/>
      <c r="AG489" s="37"/>
    </row>
    <row r="490" spans="1:33" ht="14.25" customHeight="1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  <c r="AE490" s="37"/>
      <c r="AF490" s="37"/>
      <c r="AG490" s="37"/>
    </row>
    <row r="491" spans="1:33" ht="14.25" customHeight="1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  <c r="AE491" s="37"/>
      <c r="AF491" s="37"/>
      <c r="AG491" s="37"/>
    </row>
    <row r="492" spans="1:33" ht="14.25" customHeight="1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  <c r="AE492" s="37"/>
      <c r="AF492" s="37"/>
      <c r="AG492" s="37"/>
    </row>
    <row r="493" spans="1:33" ht="14.25" customHeight="1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  <c r="AE493" s="37"/>
      <c r="AF493" s="37"/>
      <c r="AG493" s="37"/>
    </row>
    <row r="494" spans="1:33" ht="14.25" customHeight="1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  <c r="AE494" s="37"/>
      <c r="AF494" s="37"/>
      <c r="AG494" s="37"/>
    </row>
    <row r="495" spans="1:33" ht="14.25" customHeight="1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  <c r="AE495" s="37"/>
      <c r="AF495" s="37"/>
      <c r="AG495" s="37"/>
    </row>
    <row r="496" spans="1:33" ht="14.25" customHeight="1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  <c r="AE496" s="37"/>
      <c r="AF496" s="37"/>
      <c r="AG496" s="37"/>
    </row>
    <row r="497" spans="1:33" ht="14.25" customHeight="1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  <c r="AE497" s="37"/>
      <c r="AF497" s="37"/>
      <c r="AG497" s="37"/>
    </row>
    <row r="498" spans="1:33" ht="14.25" customHeight="1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  <c r="AE498" s="37"/>
      <c r="AF498" s="37"/>
      <c r="AG498" s="37"/>
    </row>
    <row r="499" spans="1:33" ht="14.25" customHeight="1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  <c r="AE499" s="37"/>
      <c r="AF499" s="37"/>
      <c r="AG499" s="37"/>
    </row>
    <row r="500" spans="1:33" ht="14.25" customHeight="1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  <c r="AE500" s="37"/>
      <c r="AF500" s="37"/>
      <c r="AG500" s="37"/>
    </row>
    <row r="501" spans="1:33" ht="14.25" customHeight="1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  <c r="AE501" s="37"/>
      <c r="AF501" s="37"/>
      <c r="AG501" s="37"/>
    </row>
    <row r="502" spans="1:33" ht="14.25" customHeight="1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  <c r="AE502" s="37"/>
      <c r="AF502" s="37"/>
      <c r="AG502" s="37"/>
    </row>
    <row r="503" spans="1:33" ht="14.25" customHeight="1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  <c r="AE503" s="37"/>
      <c r="AF503" s="37"/>
      <c r="AG503" s="37"/>
    </row>
    <row r="504" spans="1:33" ht="14.25" customHeight="1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  <c r="AE504" s="37"/>
      <c r="AF504" s="37"/>
      <c r="AG504" s="37"/>
    </row>
    <row r="505" spans="1:33" ht="14.25" customHeight="1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  <c r="AE505" s="37"/>
      <c r="AF505" s="37"/>
      <c r="AG505" s="37"/>
    </row>
    <row r="506" spans="1:33" ht="14.25" customHeight="1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  <c r="AE506" s="37"/>
      <c r="AF506" s="37"/>
      <c r="AG506" s="37"/>
    </row>
    <row r="507" spans="1:33" ht="14.25" customHeight="1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  <c r="AE507" s="37"/>
      <c r="AF507" s="37"/>
      <c r="AG507" s="37"/>
    </row>
    <row r="508" spans="1:33" ht="14.25" customHeight="1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  <c r="AE508" s="37"/>
      <c r="AF508" s="37"/>
      <c r="AG508" s="37"/>
    </row>
    <row r="509" spans="1:33" ht="14.25" customHeight="1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  <c r="AE509" s="37"/>
      <c r="AF509" s="37"/>
      <c r="AG509" s="37"/>
    </row>
    <row r="510" spans="1:33" ht="14.25" customHeight="1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  <c r="AE510" s="37"/>
      <c r="AF510" s="37"/>
      <c r="AG510" s="37"/>
    </row>
    <row r="511" spans="1:33" ht="14.25" customHeight="1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  <c r="AE511" s="37"/>
      <c r="AF511" s="37"/>
      <c r="AG511" s="37"/>
    </row>
    <row r="512" spans="1:33" ht="14.25" customHeight="1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  <c r="AE512" s="37"/>
      <c r="AF512" s="37"/>
      <c r="AG512" s="37"/>
    </row>
    <row r="513" spans="1:33" ht="14.25" customHeight="1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  <c r="AE513" s="37"/>
      <c r="AF513" s="37"/>
      <c r="AG513" s="37"/>
    </row>
    <row r="514" spans="1:33" ht="14.25" customHeight="1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  <c r="AE514" s="37"/>
      <c r="AF514" s="37"/>
      <c r="AG514" s="37"/>
    </row>
    <row r="515" spans="1:33" ht="14.25" customHeight="1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  <c r="AE515" s="37"/>
      <c r="AF515" s="37"/>
      <c r="AG515" s="37"/>
    </row>
    <row r="516" spans="1:33" ht="14.25" customHeight="1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  <c r="AE516" s="37"/>
      <c r="AF516" s="37"/>
      <c r="AG516" s="37"/>
    </row>
    <row r="517" spans="1:33" ht="14.25" customHeight="1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  <c r="AE517" s="37"/>
      <c r="AF517" s="37"/>
      <c r="AG517" s="37"/>
    </row>
    <row r="518" spans="1:33" ht="14.25" customHeight="1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  <c r="AE518" s="37"/>
      <c r="AF518" s="37"/>
      <c r="AG518" s="37"/>
    </row>
    <row r="519" spans="1:33" ht="14.25" customHeight="1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  <c r="AE519" s="37"/>
      <c r="AF519" s="37"/>
      <c r="AG519" s="37"/>
    </row>
    <row r="520" spans="1:33" ht="14.25" customHeight="1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  <c r="AE520" s="37"/>
      <c r="AF520" s="37"/>
      <c r="AG520" s="37"/>
    </row>
    <row r="521" spans="1:33" ht="14.25" customHeight="1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  <c r="AE521" s="37"/>
      <c r="AF521" s="37"/>
      <c r="AG521" s="37"/>
    </row>
    <row r="522" spans="1:33" ht="14.25" customHeight="1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  <c r="AE522" s="37"/>
      <c r="AF522" s="37"/>
      <c r="AG522" s="37"/>
    </row>
    <row r="523" spans="1:33" ht="14.25" customHeight="1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  <c r="AE523" s="37"/>
      <c r="AF523" s="37"/>
      <c r="AG523" s="37"/>
    </row>
    <row r="524" spans="1:33" ht="14.25" customHeight="1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  <c r="AE524" s="37"/>
      <c r="AF524" s="37"/>
      <c r="AG524" s="37"/>
    </row>
    <row r="525" spans="1:33" ht="14.25" customHeight="1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  <c r="AE525" s="37"/>
      <c r="AF525" s="37"/>
      <c r="AG525" s="37"/>
    </row>
    <row r="526" spans="1:33" ht="14.25" customHeight="1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  <c r="AE526" s="37"/>
      <c r="AF526" s="37"/>
      <c r="AG526" s="37"/>
    </row>
    <row r="527" spans="1:33" ht="14.25" customHeight="1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  <c r="AE527" s="37"/>
      <c r="AF527" s="37"/>
      <c r="AG527" s="37"/>
    </row>
    <row r="528" spans="1:33" ht="14.25" customHeight="1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  <c r="AE528" s="37"/>
      <c r="AF528" s="37"/>
      <c r="AG528" s="37"/>
    </row>
    <row r="529" spans="1:33" ht="14.25" customHeight="1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  <c r="AE529" s="37"/>
      <c r="AF529" s="37"/>
      <c r="AG529" s="37"/>
    </row>
    <row r="530" spans="1:33" ht="14.25" customHeight="1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  <c r="AE530" s="37"/>
      <c r="AF530" s="37"/>
      <c r="AG530" s="37"/>
    </row>
    <row r="531" spans="1:33" ht="14.25" customHeight="1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  <c r="AE531" s="37"/>
      <c r="AF531" s="37"/>
      <c r="AG531" s="37"/>
    </row>
    <row r="532" spans="1:33" ht="14.25" customHeight="1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  <c r="AE532" s="37"/>
      <c r="AF532" s="37"/>
      <c r="AG532" s="37"/>
    </row>
    <row r="533" spans="1:33" ht="14.25" customHeight="1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  <c r="AE533" s="37"/>
      <c r="AF533" s="37"/>
      <c r="AG533" s="37"/>
    </row>
    <row r="534" spans="1:33" ht="14.25" customHeight="1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  <c r="AE534" s="37"/>
      <c r="AF534" s="37"/>
      <c r="AG534" s="37"/>
    </row>
    <row r="535" spans="1:33" ht="14.25" customHeight="1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  <c r="AE535" s="37"/>
      <c r="AF535" s="37"/>
      <c r="AG535" s="37"/>
    </row>
    <row r="536" spans="1:33" ht="14.25" customHeight="1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  <c r="AE536" s="37"/>
      <c r="AF536" s="37"/>
      <c r="AG536" s="37"/>
    </row>
    <row r="537" spans="1:33" ht="14.25" customHeight="1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  <c r="AE537" s="37"/>
      <c r="AF537" s="37"/>
      <c r="AG537" s="37"/>
    </row>
    <row r="538" spans="1:33" ht="14.25" customHeight="1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  <c r="AE538" s="37"/>
      <c r="AF538" s="37"/>
      <c r="AG538" s="37"/>
    </row>
    <row r="539" spans="1:33" ht="14.25" customHeight="1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  <c r="AE539" s="37"/>
      <c r="AF539" s="37"/>
      <c r="AG539" s="37"/>
    </row>
    <row r="540" spans="1:33" ht="14.25" customHeight="1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  <c r="AE540" s="37"/>
      <c r="AF540" s="37"/>
      <c r="AG540" s="37"/>
    </row>
    <row r="541" spans="1:33" ht="14.25" customHeight="1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  <c r="AE541" s="37"/>
      <c r="AF541" s="37"/>
      <c r="AG541" s="37"/>
    </row>
    <row r="542" spans="1:33" ht="14.25" customHeight="1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  <c r="AE542" s="37"/>
      <c r="AF542" s="37"/>
      <c r="AG542" s="37"/>
    </row>
    <row r="543" spans="1:33" ht="14.25" customHeight="1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  <c r="AE543" s="37"/>
      <c r="AF543" s="37"/>
      <c r="AG543" s="37"/>
    </row>
    <row r="544" spans="1:33" ht="14.25" customHeight="1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  <c r="AE544" s="37"/>
      <c r="AF544" s="37"/>
      <c r="AG544" s="37"/>
    </row>
    <row r="545" spans="1:33" ht="14.25" customHeight="1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  <c r="AE545" s="37"/>
      <c r="AF545" s="37"/>
      <c r="AG545" s="37"/>
    </row>
    <row r="546" spans="1:33" ht="14.25" customHeight="1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  <c r="AE546" s="37"/>
      <c r="AF546" s="37"/>
      <c r="AG546" s="37"/>
    </row>
    <row r="547" spans="1:33" ht="14.25" customHeight="1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  <c r="AE547" s="37"/>
      <c r="AF547" s="37"/>
      <c r="AG547" s="37"/>
    </row>
    <row r="548" spans="1:33" ht="14.25" customHeight="1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  <c r="AE548" s="37"/>
      <c r="AF548" s="37"/>
      <c r="AG548" s="37"/>
    </row>
    <row r="549" spans="1:33" ht="14.25" customHeight="1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  <c r="AE549" s="37"/>
      <c r="AF549" s="37"/>
      <c r="AG549" s="37"/>
    </row>
    <row r="550" spans="1:33" ht="14.25" customHeight="1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  <c r="AE550" s="37"/>
      <c r="AF550" s="37"/>
      <c r="AG550" s="37"/>
    </row>
    <row r="551" spans="1:33" ht="14.25" customHeight="1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  <c r="AE551" s="37"/>
      <c r="AF551" s="37"/>
      <c r="AG551" s="37"/>
    </row>
    <row r="552" spans="1:33" ht="14.25" customHeight="1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  <c r="AE552" s="37"/>
      <c r="AF552" s="37"/>
      <c r="AG552" s="37"/>
    </row>
    <row r="553" spans="1:33" ht="14.25" customHeight="1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  <c r="AE553" s="37"/>
      <c r="AF553" s="37"/>
      <c r="AG553" s="37"/>
    </row>
    <row r="554" spans="1:33" ht="14.25" customHeight="1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  <c r="AE554" s="37"/>
      <c r="AF554" s="37"/>
      <c r="AG554" s="37"/>
    </row>
    <row r="555" spans="1:33" ht="14.25" customHeight="1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  <c r="AE555" s="37"/>
      <c r="AF555" s="37"/>
      <c r="AG555" s="37"/>
    </row>
    <row r="556" spans="1:33" ht="14.25" customHeight="1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  <c r="AE556" s="37"/>
      <c r="AF556" s="37"/>
      <c r="AG556" s="37"/>
    </row>
    <row r="557" spans="1:33" ht="14.25" customHeight="1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  <c r="AE557" s="37"/>
      <c r="AF557" s="37"/>
      <c r="AG557" s="37"/>
    </row>
    <row r="558" spans="1:33" ht="14.25" customHeight="1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  <c r="AE558" s="37"/>
      <c r="AF558" s="37"/>
      <c r="AG558" s="37"/>
    </row>
    <row r="559" spans="1:33" ht="14.25" customHeight="1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  <c r="AE559" s="37"/>
      <c r="AF559" s="37"/>
      <c r="AG559" s="37"/>
    </row>
    <row r="560" spans="1:33" ht="14.25" customHeight="1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  <c r="AE560" s="37"/>
      <c r="AF560" s="37"/>
      <c r="AG560" s="37"/>
    </row>
    <row r="561" spans="1:33" ht="14.25" customHeight="1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  <c r="AE561" s="37"/>
      <c r="AF561" s="37"/>
      <c r="AG561" s="37"/>
    </row>
    <row r="562" spans="1:33" ht="14.25" customHeight="1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  <c r="AE562" s="37"/>
      <c r="AF562" s="37"/>
      <c r="AG562" s="37"/>
    </row>
    <row r="563" spans="1:33" ht="14.25" customHeight="1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  <c r="AE563" s="37"/>
      <c r="AF563" s="37"/>
      <c r="AG563" s="37"/>
    </row>
    <row r="564" spans="1:33" ht="14.25" customHeight="1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  <c r="AE564" s="37"/>
      <c r="AF564" s="37"/>
      <c r="AG564" s="37"/>
    </row>
    <row r="565" spans="1:33" ht="14.25" customHeight="1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  <c r="AE565" s="37"/>
      <c r="AF565" s="37"/>
      <c r="AG565" s="37"/>
    </row>
    <row r="566" spans="1:33" ht="14.25" customHeight="1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  <c r="AE566" s="37"/>
      <c r="AF566" s="37"/>
      <c r="AG566" s="37"/>
    </row>
    <row r="567" spans="1:33" ht="14.25" customHeight="1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  <c r="AE567" s="37"/>
      <c r="AF567" s="37"/>
      <c r="AG567" s="37"/>
    </row>
    <row r="568" spans="1:33" ht="14.25" customHeight="1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  <c r="AE568" s="37"/>
      <c r="AF568" s="37"/>
      <c r="AG568" s="37"/>
    </row>
    <row r="569" spans="1:33" ht="14.25" customHeight="1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  <c r="AE569" s="37"/>
      <c r="AF569" s="37"/>
      <c r="AG569" s="37"/>
    </row>
    <row r="570" spans="1:33" ht="14.25" customHeight="1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  <c r="AE570" s="37"/>
      <c r="AF570" s="37"/>
      <c r="AG570" s="37"/>
    </row>
    <row r="571" spans="1:33" ht="14.25" customHeight="1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  <c r="AE571" s="37"/>
      <c r="AF571" s="37"/>
      <c r="AG571" s="37"/>
    </row>
    <row r="572" spans="1:33" ht="14.25" customHeight="1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  <c r="AE572" s="37"/>
      <c r="AF572" s="37"/>
      <c r="AG572" s="37"/>
    </row>
    <row r="573" spans="1:33" ht="14.25" customHeight="1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  <c r="AE573" s="37"/>
      <c r="AF573" s="37"/>
      <c r="AG573" s="37"/>
    </row>
    <row r="574" spans="1:33" ht="14.25" customHeight="1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  <c r="AE574" s="37"/>
      <c r="AF574" s="37"/>
      <c r="AG574" s="37"/>
    </row>
    <row r="575" spans="1:33" ht="14.25" customHeight="1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  <c r="AE575" s="37"/>
      <c r="AF575" s="37"/>
      <c r="AG575" s="37"/>
    </row>
    <row r="576" spans="1:33" ht="14.25" customHeight="1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  <c r="AE576" s="37"/>
      <c r="AF576" s="37"/>
      <c r="AG576" s="37"/>
    </row>
    <row r="577" spans="1:33" ht="14.25" customHeight="1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  <c r="AE577" s="37"/>
      <c r="AF577" s="37"/>
      <c r="AG577" s="37"/>
    </row>
    <row r="578" spans="1:33" ht="14.25" customHeight="1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  <c r="AE578" s="37"/>
      <c r="AF578" s="37"/>
      <c r="AG578" s="37"/>
    </row>
    <row r="579" spans="1:33" ht="14.25" customHeight="1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  <c r="AE579" s="37"/>
      <c r="AF579" s="37"/>
      <c r="AG579" s="37"/>
    </row>
    <row r="580" spans="1:33" ht="14.25" customHeight="1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  <c r="AE580" s="37"/>
      <c r="AF580" s="37"/>
      <c r="AG580" s="37"/>
    </row>
    <row r="581" spans="1:33" ht="14.25" customHeight="1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  <c r="AE581" s="37"/>
      <c r="AF581" s="37"/>
      <c r="AG581" s="37"/>
    </row>
    <row r="582" spans="1:33" ht="14.25" customHeight="1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  <c r="AE582" s="37"/>
      <c r="AF582" s="37"/>
      <c r="AG582" s="37"/>
    </row>
    <row r="583" spans="1:33" ht="14.25" customHeight="1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  <c r="AE583" s="37"/>
      <c r="AF583" s="37"/>
      <c r="AG583" s="37"/>
    </row>
    <row r="584" spans="1:33" ht="14.25" customHeight="1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  <c r="AE584" s="37"/>
      <c r="AF584" s="37"/>
      <c r="AG584" s="37"/>
    </row>
    <row r="585" spans="1:33" ht="14.25" customHeight="1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  <c r="AE585" s="37"/>
      <c r="AF585" s="37"/>
      <c r="AG585" s="37"/>
    </row>
    <row r="586" spans="1:33" ht="14.25" customHeight="1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  <c r="AE586" s="37"/>
      <c r="AF586" s="37"/>
      <c r="AG586" s="37"/>
    </row>
    <row r="587" spans="1:33" ht="14.25" customHeight="1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  <c r="AE587" s="37"/>
      <c r="AF587" s="37"/>
      <c r="AG587" s="37"/>
    </row>
    <row r="588" spans="1:33" ht="14.25" customHeight="1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  <c r="AE588" s="37"/>
      <c r="AF588" s="37"/>
      <c r="AG588" s="37"/>
    </row>
    <row r="589" spans="1:33" ht="14.25" customHeight="1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  <c r="AE589" s="37"/>
      <c r="AF589" s="37"/>
      <c r="AG589" s="37"/>
    </row>
    <row r="590" spans="1:33" ht="14.25" customHeight="1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  <c r="AE590" s="37"/>
      <c r="AF590" s="37"/>
      <c r="AG590" s="37"/>
    </row>
    <row r="591" spans="1:33" ht="14.25" customHeight="1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  <c r="AE591" s="37"/>
      <c r="AF591" s="37"/>
      <c r="AG591" s="37"/>
    </row>
    <row r="592" spans="1:33" ht="14.25" customHeight="1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  <c r="AE592" s="37"/>
      <c r="AF592" s="37"/>
      <c r="AG592" s="37"/>
    </row>
    <row r="593" spans="1:33" ht="14.25" customHeight="1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  <c r="AE593" s="37"/>
      <c r="AF593" s="37"/>
      <c r="AG593" s="37"/>
    </row>
    <row r="594" spans="1:33" ht="14.25" customHeight="1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  <c r="AE594" s="37"/>
      <c r="AF594" s="37"/>
      <c r="AG594" s="37"/>
    </row>
    <row r="595" spans="1:33" ht="14.25" customHeight="1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  <c r="AE595" s="37"/>
      <c r="AF595" s="37"/>
      <c r="AG595" s="37"/>
    </row>
    <row r="596" spans="1:33" ht="14.25" customHeight="1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  <c r="AE596" s="37"/>
      <c r="AF596" s="37"/>
      <c r="AG596" s="37"/>
    </row>
    <row r="597" spans="1:33" ht="14.25" customHeight="1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  <c r="AE597" s="37"/>
      <c r="AF597" s="37"/>
      <c r="AG597" s="37"/>
    </row>
    <row r="598" spans="1:33" ht="14.25" customHeight="1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  <c r="AE598" s="37"/>
      <c r="AF598" s="37"/>
      <c r="AG598" s="37"/>
    </row>
    <row r="599" spans="1:33" ht="14.25" customHeight="1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  <c r="AE599" s="37"/>
      <c r="AF599" s="37"/>
      <c r="AG599" s="37"/>
    </row>
    <row r="600" spans="1:33" ht="14.25" customHeight="1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  <c r="AE600" s="37"/>
      <c r="AF600" s="37"/>
      <c r="AG600" s="37"/>
    </row>
    <row r="601" spans="1:33" ht="14.25" customHeight="1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  <c r="AE601" s="37"/>
      <c r="AF601" s="37"/>
      <c r="AG601" s="37"/>
    </row>
    <row r="602" spans="1:33" ht="14.25" customHeight="1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  <c r="AE602" s="37"/>
      <c r="AF602" s="37"/>
      <c r="AG602" s="37"/>
    </row>
    <row r="603" spans="1:33" ht="14.25" customHeight="1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  <c r="AE603" s="37"/>
      <c r="AF603" s="37"/>
      <c r="AG603" s="37"/>
    </row>
    <row r="604" spans="1:33" ht="14.25" customHeight="1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  <c r="AE604" s="37"/>
      <c r="AF604" s="37"/>
      <c r="AG604" s="37"/>
    </row>
    <row r="605" spans="1:33" ht="14.25" customHeight="1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  <c r="AE605" s="37"/>
      <c r="AF605" s="37"/>
      <c r="AG605" s="37"/>
    </row>
    <row r="606" spans="1:33" ht="14.25" customHeight="1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  <c r="AE606" s="37"/>
      <c r="AF606" s="37"/>
      <c r="AG606" s="37"/>
    </row>
    <row r="607" spans="1:33" ht="14.25" customHeight="1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  <c r="AE607" s="37"/>
      <c r="AF607" s="37"/>
      <c r="AG607" s="37"/>
    </row>
    <row r="608" spans="1:33" ht="14.25" customHeight="1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  <c r="AE608" s="37"/>
      <c r="AF608" s="37"/>
      <c r="AG608" s="37"/>
    </row>
    <row r="609" spans="1:33" ht="14.25" customHeight="1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  <c r="AE609" s="37"/>
      <c r="AF609" s="37"/>
      <c r="AG609" s="37"/>
    </row>
    <row r="610" spans="1:33" ht="14.25" customHeight="1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  <c r="AE610" s="37"/>
      <c r="AF610" s="37"/>
      <c r="AG610" s="37"/>
    </row>
    <row r="611" spans="1:33" ht="14.25" customHeight="1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  <c r="AE611" s="37"/>
      <c r="AF611" s="37"/>
      <c r="AG611" s="37"/>
    </row>
    <row r="612" spans="1:33" ht="14.25" customHeight="1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  <c r="AE612" s="37"/>
      <c r="AF612" s="37"/>
      <c r="AG612" s="37"/>
    </row>
    <row r="613" spans="1:33" ht="14.25" customHeight="1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  <c r="AE613" s="37"/>
      <c r="AF613" s="37"/>
      <c r="AG613" s="37"/>
    </row>
    <row r="614" spans="1:33" ht="14.25" customHeight="1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  <c r="AE614" s="37"/>
      <c r="AF614" s="37"/>
      <c r="AG614" s="37"/>
    </row>
    <row r="615" spans="1:33" ht="14.25" customHeight="1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  <c r="AE615" s="37"/>
      <c r="AF615" s="37"/>
      <c r="AG615" s="37"/>
    </row>
    <row r="616" spans="1:33" ht="14.25" customHeight="1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  <c r="AE616" s="37"/>
      <c r="AF616" s="37"/>
      <c r="AG616" s="37"/>
    </row>
    <row r="617" spans="1:33" ht="14.25" customHeight="1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  <c r="AE617" s="37"/>
      <c r="AF617" s="37"/>
      <c r="AG617" s="37"/>
    </row>
    <row r="618" spans="1:33" ht="14.25" customHeight="1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  <c r="AE618" s="37"/>
      <c r="AF618" s="37"/>
      <c r="AG618" s="37"/>
    </row>
    <row r="619" spans="1:33" ht="14.25" customHeight="1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  <c r="AE619" s="37"/>
      <c r="AF619" s="37"/>
      <c r="AG619" s="37"/>
    </row>
    <row r="620" spans="1:33" ht="14.25" customHeight="1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  <c r="AE620" s="37"/>
      <c r="AF620" s="37"/>
      <c r="AG620" s="37"/>
    </row>
    <row r="621" spans="1:33" ht="14.25" customHeight="1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  <c r="AE621" s="37"/>
      <c r="AF621" s="37"/>
      <c r="AG621" s="37"/>
    </row>
    <row r="622" spans="1:33" ht="14.25" customHeight="1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  <c r="AE622" s="37"/>
      <c r="AF622" s="37"/>
      <c r="AG622" s="37"/>
    </row>
    <row r="623" spans="1:33" ht="14.25" customHeight="1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  <c r="AE623" s="37"/>
      <c r="AF623" s="37"/>
      <c r="AG623" s="37"/>
    </row>
    <row r="624" spans="1:33" ht="14.25" customHeight="1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  <c r="AE624" s="37"/>
      <c r="AF624" s="37"/>
      <c r="AG624" s="37"/>
    </row>
    <row r="625" spans="1:33" ht="14.25" customHeight="1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  <c r="AE625" s="37"/>
      <c r="AF625" s="37"/>
      <c r="AG625" s="37"/>
    </row>
    <row r="626" spans="1:33" ht="14.25" customHeight="1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  <c r="AE626" s="37"/>
      <c r="AF626" s="37"/>
      <c r="AG626" s="37"/>
    </row>
    <row r="627" spans="1:33" ht="14.25" customHeight="1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  <c r="AE627" s="37"/>
      <c r="AF627" s="37"/>
      <c r="AG627" s="37"/>
    </row>
    <row r="628" spans="1:33" ht="14.25" customHeight="1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  <c r="AE628" s="37"/>
      <c r="AF628" s="37"/>
      <c r="AG628" s="37"/>
    </row>
    <row r="629" spans="1:33" ht="14.25" customHeight="1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  <c r="AE629" s="37"/>
      <c r="AF629" s="37"/>
      <c r="AG629" s="37"/>
    </row>
    <row r="630" spans="1:33" ht="14.25" customHeight="1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  <c r="AE630" s="37"/>
      <c r="AF630" s="37"/>
      <c r="AG630" s="37"/>
    </row>
    <row r="631" spans="1:33" ht="14.25" customHeight="1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  <c r="AE631" s="37"/>
      <c r="AF631" s="37"/>
      <c r="AG631" s="37"/>
    </row>
    <row r="632" spans="1:33" ht="14.25" customHeight="1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  <c r="AE632" s="37"/>
      <c r="AF632" s="37"/>
      <c r="AG632" s="37"/>
    </row>
    <row r="633" spans="1:33" ht="14.25" customHeight="1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  <c r="AE633" s="37"/>
      <c r="AF633" s="37"/>
      <c r="AG633" s="37"/>
    </row>
    <row r="634" spans="1:33" ht="14.25" customHeight="1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  <c r="AE634" s="37"/>
      <c r="AF634" s="37"/>
      <c r="AG634" s="37"/>
    </row>
    <row r="635" spans="1:33" ht="14.25" customHeight="1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  <c r="AE635" s="37"/>
      <c r="AF635" s="37"/>
      <c r="AG635" s="37"/>
    </row>
    <row r="636" spans="1:33" ht="14.25" customHeight="1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  <c r="AE636" s="37"/>
      <c r="AF636" s="37"/>
      <c r="AG636" s="37"/>
    </row>
    <row r="637" spans="1:33" ht="14.25" customHeight="1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  <c r="AE637" s="37"/>
      <c r="AF637" s="37"/>
      <c r="AG637" s="37"/>
    </row>
    <row r="638" spans="1:33" ht="14.25" customHeight="1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  <c r="AE638" s="37"/>
      <c r="AF638" s="37"/>
      <c r="AG638" s="37"/>
    </row>
    <row r="639" spans="1:33" ht="14.25" customHeight="1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  <c r="AE639" s="37"/>
      <c r="AF639" s="37"/>
      <c r="AG639" s="37"/>
    </row>
    <row r="640" spans="1:33" ht="14.25" customHeight="1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  <c r="AE640" s="37"/>
      <c r="AF640" s="37"/>
      <c r="AG640" s="37"/>
    </row>
    <row r="641" spans="1:33" ht="14.25" customHeight="1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  <c r="AE641" s="37"/>
      <c r="AF641" s="37"/>
      <c r="AG641" s="37"/>
    </row>
    <row r="642" spans="1:33" ht="14.25" customHeight="1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  <c r="AE642" s="37"/>
      <c r="AF642" s="37"/>
      <c r="AG642" s="37"/>
    </row>
    <row r="643" spans="1:33" ht="14.25" customHeight="1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  <c r="AE643" s="37"/>
      <c r="AF643" s="37"/>
      <c r="AG643" s="37"/>
    </row>
    <row r="644" spans="1:33" ht="14.25" customHeight="1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  <c r="AE644" s="37"/>
      <c r="AF644" s="37"/>
      <c r="AG644" s="37"/>
    </row>
    <row r="645" spans="1:33" ht="14.25" customHeight="1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  <c r="AE645" s="37"/>
      <c r="AF645" s="37"/>
      <c r="AG645" s="37"/>
    </row>
    <row r="646" spans="1:33" ht="14.25" customHeight="1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  <c r="AE646" s="37"/>
      <c r="AF646" s="37"/>
      <c r="AG646" s="37"/>
    </row>
    <row r="647" spans="1:33" ht="14.25" customHeight="1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  <c r="AE647" s="37"/>
      <c r="AF647" s="37"/>
      <c r="AG647" s="37"/>
    </row>
    <row r="648" spans="1:33" ht="14.25" customHeight="1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  <c r="AE648" s="37"/>
      <c r="AF648" s="37"/>
      <c r="AG648" s="37"/>
    </row>
    <row r="649" spans="1:33" ht="14.25" customHeight="1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  <c r="AE649" s="37"/>
      <c r="AF649" s="37"/>
      <c r="AG649" s="37"/>
    </row>
    <row r="650" spans="1:33" ht="14.25" customHeight="1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  <c r="AE650" s="37"/>
      <c r="AF650" s="37"/>
      <c r="AG650" s="37"/>
    </row>
    <row r="651" spans="1:33" ht="14.25" customHeight="1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  <c r="AE651" s="37"/>
      <c r="AF651" s="37"/>
      <c r="AG651" s="37"/>
    </row>
    <row r="652" spans="1:33" ht="14.25" customHeight="1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  <c r="AE652" s="37"/>
      <c r="AF652" s="37"/>
      <c r="AG652" s="37"/>
    </row>
    <row r="653" spans="1:33" ht="14.25" customHeight="1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  <c r="AE653" s="37"/>
      <c r="AF653" s="37"/>
      <c r="AG653" s="37"/>
    </row>
    <row r="654" spans="1:33" ht="14.25" customHeight="1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  <c r="AE654" s="37"/>
      <c r="AF654" s="37"/>
      <c r="AG654" s="37"/>
    </row>
    <row r="655" spans="1:33" ht="14.25" customHeight="1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  <c r="AE655" s="37"/>
      <c r="AF655" s="37"/>
      <c r="AG655" s="37"/>
    </row>
    <row r="656" spans="1:33" ht="14.25" customHeight="1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  <c r="AE656" s="37"/>
      <c r="AF656" s="37"/>
      <c r="AG656" s="37"/>
    </row>
    <row r="657" spans="1:33" ht="14.25" customHeight="1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  <c r="AE657" s="37"/>
      <c r="AF657" s="37"/>
      <c r="AG657" s="37"/>
    </row>
    <row r="658" spans="1:33" ht="14.25" customHeight="1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  <c r="AE658" s="37"/>
      <c r="AF658" s="37"/>
      <c r="AG658" s="37"/>
    </row>
    <row r="659" spans="1:33" ht="14.25" customHeight="1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  <c r="AE659" s="37"/>
      <c r="AF659" s="37"/>
      <c r="AG659" s="37"/>
    </row>
    <row r="660" spans="1:33" ht="14.25" customHeight="1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  <c r="AE660" s="37"/>
      <c r="AF660" s="37"/>
      <c r="AG660" s="37"/>
    </row>
    <row r="661" spans="1:33" ht="14.25" customHeight="1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  <c r="AE661" s="37"/>
      <c r="AF661" s="37"/>
      <c r="AG661" s="37"/>
    </row>
    <row r="662" spans="1:33" ht="14.25" customHeight="1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  <c r="AE662" s="37"/>
      <c r="AF662" s="37"/>
      <c r="AG662" s="37"/>
    </row>
    <row r="663" spans="1:33" ht="14.25" customHeight="1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  <c r="AE663" s="37"/>
      <c r="AF663" s="37"/>
      <c r="AG663" s="37"/>
    </row>
    <row r="664" spans="1:33" ht="14.25" customHeight="1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  <c r="AE664" s="37"/>
      <c r="AF664" s="37"/>
      <c r="AG664" s="37"/>
    </row>
    <row r="665" spans="1:33" ht="14.25" customHeight="1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  <c r="AE665" s="37"/>
      <c r="AF665" s="37"/>
      <c r="AG665" s="37"/>
    </row>
    <row r="666" spans="1:33" ht="14.25" customHeight="1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  <c r="AE666" s="37"/>
      <c r="AF666" s="37"/>
      <c r="AG666" s="37"/>
    </row>
    <row r="667" spans="1:33" ht="14.25" customHeight="1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  <c r="AE667" s="37"/>
      <c r="AF667" s="37"/>
      <c r="AG667" s="37"/>
    </row>
    <row r="668" spans="1:33" ht="14.25" customHeight="1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  <c r="AE668" s="37"/>
      <c r="AF668" s="37"/>
      <c r="AG668" s="37"/>
    </row>
    <row r="669" spans="1:33" ht="14.25" customHeight="1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  <c r="AE669" s="37"/>
      <c r="AF669" s="37"/>
      <c r="AG669" s="37"/>
    </row>
    <row r="670" spans="1:33" ht="14.25" customHeight="1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  <c r="AE670" s="37"/>
      <c r="AF670" s="37"/>
      <c r="AG670" s="37"/>
    </row>
    <row r="671" spans="1:33" ht="14.25" customHeight="1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  <c r="AE671" s="37"/>
      <c r="AF671" s="37"/>
      <c r="AG671" s="37"/>
    </row>
    <row r="672" spans="1:33" ht="14.25" customHeight="1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  <c r="AE672" s="37"/>
      <c r="AF672" s="37"/>
      <c r="AG672" s="37"/>
    </row>
    <row r="673" spans="1:33" ht="14.25" customHeight="1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  <c r="AE673" s="37"/>
      <c r="AF673" s="37"/>
      <c r="AG673" s="37"/>
    </row>
    <row r="674" spans="1:33" ht="14.25" customHeight="1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  <c r="AE674" s="37"/>
      <c r="AF674" s="37"/>
      <c r="AG674" s="37"/>
    </row>
    <row r="675" spans="1:33" ht="14.25" customHeight="1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  <c r="AE675" s="37"/>
      <c r="AF675" s="37"/>
      <c r="AG675" s="37"/>
    </row>
    <row r="676" spans="1:33" ht="14.25" customHeight="1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  <c r="AE676" s="37"/>
      <c r="AF676" s="37"/>
      <c r="AG676" s="37"/>
    </row>
    <row r="677" spans="1:33" ht="14.25" customHeight="1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  <c r="AE677" s="37"/>
      <c r="AF677" s="37"/>
      <c r="AG677" s="37"/>
    </row>
    <row r="678" spans="1:33" ht="14.25" customHeight="1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  <c r="AE678" s="37"/>
      <c r="AF678" s="37"/>
      <c r="AG678" s="37"/>
    </row>
    <row r="679" spans="1:33" ht="14.25" customHeight="1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  <c r="AE679" s="37"/>
      <c r="AF679" s="37"/>
      <c r="AG679" s="37"/>
    </row>
    <row r="680" spans="1:33" ht="14.25" customHeight="1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  <c r="AE680" s="37"/>
      <c r="AF680" s="37"/>
      <c r="AG680" s="37"/>
    </row>
    <row r="681" spans="1:33" ht="14.25" customHeight="1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  <c r="AE681" s="37"/>
      <c r="AF681" s="37"/>
      <c r="AG681" s="37"/>
    </row>
    <row r="682" spans="1:33" ht="14.25" customHeight="1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  <c r="AE682" s="37"/>
      <c r="AF682" s="37"/>
      <c r="AG682" s="37"/>
    </row>
    <row r="683" spans="1:33" ht="14.25" customHeight="1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  <c r="AE683" s="37"/>
      <c r="AF683" s="37"/>
      <c r="AG683" s="37"/>
    </row>
    <row r="684" spans="1:33" ht="14.25" customHeight="1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  <c r="AE684" s="37"/>
      <c r="AF684" s="37"/>
      <c r="AG684" s="37"/>
    </row>
    <row r="685" spans="1:33" ht="14.25" customHeight="1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  <c r="AE685" s="37"/>
      <c r="AF685" s="37"/>
      <c r="AG685" s="37"/>
    </row>
    <row r="686" spans="1:33" ht="14.25" customHeight="1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  <c r="AE686" s="37"/>
      <c r="AF686" s="37"/>
      <c r="AG686" s="37"/>
    </row>
    <row r="687" spans="1:33" ht="14.25" customHeight="1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  <c r="AE687" s="37"/>
      <c r="AF687" s="37"/>
      <c r="AG687" s="37"/>
    </row>
    <row r="688" spans="1:33" ht="14.25" customHeight="1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  <c r="AE688" s="37"/>
      <c r="AF688" s="37"/>
      <c r="AG688" s="37"/>
    </row>
    <row r="689" spans="1:33" ht="14.25" customHeight="1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  <c r="AE689" s="37"/>
      <c r="AF689" s="37"/>
      <c r="AG689" s="37"/>
    </row>
    <row r="690" spans="1:33" ht="14.25" customHeight="1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  <c r="AE690" s="37"/>
      <c r="AF690" s="37"/>
      <c r="AG690" s="37"/>
    </row>
    <row r="691" spans="1:33" ht="14.25" customHeight="1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  <c r="AE691" s="37"/>
      <c r="AF691" s="37"/>
      <c r="AG691" s="37"/>
    </row>
    <row r="692" spans="1:33" ht="14.25" customHeight="1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  <c r="AE692" s="37"/>
      <c r="AF692" s="37"/>
      <c r="AG692" s="37"/>
    </row>
    <row r="693" spans="1:33" ht="14.25" customHeight="1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  <c r="AE693" s="37"/>
      <c r="AF693" s="37"/>
      <c r="AG693" s="37"/>
    </row>
    <row r="694" spans="1:33" ht="14.25" customHeight="1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  <c r="AE694" s="37"/>
      <c r="AF694" s="37"/>
      <c r="AG694" s="37"/>
    </row>
    <row r="695" spans="1:33" ht="14.25" customHeight="1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  <c r="AE695" s="37"/>
      <c r="AF695" s="37"/>
      <c r="AG695" s="37"/>
    </row>
    <row r="696" spans="1:33" ht="14.25" customHeight="1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  <c r="AE696" s="37"/>
      <c r="AF696" s="37"/>
      <c r="AG696" s="37"/>
    </row>
    <row r="697" spans="1:33" ht="14.25" customHeight="1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  <c r="AE697" s="37"/>
      <c r="AF697" s="37"/>
      <c r="AG697" s="37"/>
    </row>
    <row r="698" spans="1:33" ht="14.25" customHeight="1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  <c r="AE698" s="37"/>
      <c r="AF698" s="37"/>
      <c r="AG698" s="37"/>
    </row>
    <row r="699" spans="1:33" ht="14.25" customHeight="1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  <c r="AE699" s="37"/>
      <c r="AF699" s="37"/>
      <c r="AG699" s="37"/>
    </row>
    <row r="700" spans="1:33" ht="14.25" customHeight="1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  <c r="AE700" s="37"/>
      <c r="AF700" s="37"/>
      <c r="AG700" s="37"/>
    </row>
    <row r="701" spans="1:33" ht="14.25" customHeight="1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  <c r="AE701" s="37"/>
      <c r="AF701" s="37"/>
      <c r="AG701" s="37"/>
    </row>
    <row r="702" spans="1:33" ht="14.25" customHeight="1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  <c r="AE702" s="37"/>
      <c r="AF702" s="37"/>
      <c r="AG702" s="37"/>
    </row>
    <row r="703" spans="1:33" ht="14.25" customHeight="1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  <c r="AE703" s="37"/>
      <c r="AF703" s="37"/>
      <c r="AG703" s="37"/>
    </row>
    <row r="704" spans="1:33" ht="14.25" customHeight="1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  <c r="AE704" s="37"/>
      <c r="AF704" s="37"/>
      <c r="AG704" s="37"/>
    </row>
    <row r="705" spans="1:33" ht="14.25" customHeight="1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  <c r="AE705" s="37"/>
      <c r="AF705" s="37"/>
      <c r="AG705" s="37"/>
    </row>
    <row r="706" spans="1:33" ht="14.25" customHeight="1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  <c r="AE706" s="37"/>
      <c r="AF706" s="37"/>
      <c r="AG706" s="37"/>
    </row>
    <row r="707" spans="1:33" ht="14.25" customHeight="1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  <c r="AE707" s="37"/>
      <c r="AF707" s="37"/>
      <c r="AG707" s="37"/>
    </row>
    <row r="708" spans="1:33" ht="14.25" customHeight="1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  <c r="AE708" s="37"/>
      <c r="AF708" s="37"/>
      <c r="AG708" s="37"/>
    </row>
    <row r="709" spans="1:33" ht="14.25" customHeight="1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  <c r="AE709" s="37"/>
      <c r="AF709" s="37"/>
      <c r="AG709" s="37"/>
    </row>
    <row r="710" spans="1:33" ht="14.25" customHeight="1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  <c r="AE710" s="37"/>
      <c r="AF710" s="37"/>
      <c r="AG710" s="37"/>
    </row>
    <row r="711" spans="1:33" ht="14.25" customHeight="1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  <c r="AE711" s="37"/>
      <c r="AF711" s="37"/>
      <c r="AG711" s="37"/>
    </row>
    <row r="712" spans="1:33" ht="14.25" customHeight="1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  <c r="AE712" s="37"/>
      <c r="AF712" s="37"/>
      <c r="AG712" s="37"/>
    </row>
    <row r="713" spans="1:33" ht="14.25" customHeight="1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  <c r="AE713" s="37"/>
      <c r="AF713" s="37"/>
      <c r="AG713" s="37"/>
    </row>
    <row r="714" spans="1:33" ht="14.25" customHeight="1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  <c r="AE714" s="37"/>
      <c r="AF714" s="37"/>
      <c r="AG714" s="37"/>
    </row>
    <row r="715" spans="1:33" ht="14.25" customHeight="1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  <c r="AE715" s="37"/>
      <c r="AF715" s="37"/>
      <c r="AG715" s="37"/>
    </row>
    <row r="716" spans="1:33" ht="14.25" customHeight="1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  <c r="AE716" s="37"/>
      <c r="AF716" s="37"/>
      <c r="AG716" s="37"/>
    </row>
    <row r="717" spans="1:33" ht="14.25" customHeight="1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  <c r="AE717" s="37"/>
      <c r="AF717" s="37"/>
      <c r="AG717" s="37"/>
    </row>
    <row r="718" spans="1:33" ht="14.25" customHeight="1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  <c r="AE718" s="37"/>
      <c r="AF718" s="37"/>
      <c r="AG718" s="37"/>
    </row>
    <row r="719" spans="1:33" ht="14.25" customHeight="1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  <c r="AE719" s="37"/>
      <c r="AF719" s="37"/>
      <c r="AG719" s="37"/>
    </row>
    <row r="720" spans="1:33" ht="14.25" customHeight="1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  <c r="AE720" s="37"/>
      <c r="AF720" s="37"/>
      <c r="AG720" s="37"/>
    </row>
    <row r="721" spans="1:33" ht="14.25" customHeight="1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  <c r="AE721" s="37"/>
      <c r="AF721" s="37"/>
      <c r="AG721" s="37"/>
    </row>
    <row r="722" spans="1:33" ht="14.25" customHeight="1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  <c r="AE722" s="37"/>
      <c r="AF722" s="37"/>
      <c r="AG722" s="37"/>
    </row>
    <row r="723" spans="1:33" ht="14.25" customHeight="1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  <c r="AE723" s="37"/>
      <c r="AF723" s="37"/>
      <c r="AG723" s="37"/>
    </row>
    <row r="724" spans="1:33" ht="14.25" customHeight="1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  <c r="AE724" s="37"/>
      <c r="AF724" s="37"/>
      <c r="AG724" s="37"/>
    </row>
    <row r="725" spans="1:33" ht="14.25" customHeight="1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  <c r="AE725" s="37"/>
      <c r="AF725" s="37"/>
      <c r="AG725" s="37"/>
    </row>
    <row r="726" spans="1:33" ht="14.25" customHeight="1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  <c r="AE726" s="37"/>
      <c r="AF726" s="37"/>
      <c r="AG726" s="37"/>
    </row>
    <row r="727" spans="1:33" ht="14.25" customHeight="1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  <c r="AE727" s="37"/>
      <c r="AF727" s="37"/>
      <c r="AG727" s="37"/>
    </row>
    <row r="728" spans="1:33" ht="14.25" customHeight="1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  <c r="AE728" s="37"/>
      <c r="AF728" s="37"/>
      <c r="AG728" s="37"/>
    </row>
    <row r="729" spans="1:33" ht="14.25" customHeight="1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  <c r="AE729" s="37"/>
      <c r="AF729" s="37"/>
      <c r="AG729" s="37"/>
    </row>
    <row r="730" spans="1:33" ht="14.25" customHeight="1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  <c r="AE730" s="37"/>
      <c r="AF730" s="37"/>
      <c r="AG730" s="37"/>
    </row>
    <row r="731" spans="1:33" ht="14.25" customHeight="1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  <c r="AE731" s="37"/>
      <c r="AF731" s="37"/>
      <c r="AG731" s="37"/>
    </row>
    <row r="732" spans="1:33" ht="14.25" customHeight="1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  <c r="AE732" s="37"/>
      <c r="AF732" s="37"/>
      <c r="AG732" s="37"/>
    </row>
    <row r="733" spans="1:33" ht="14.25" customHeight="1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  <c r="AE733" s="37"/>
      <c r="AF733" s="37"/>
      <c r="AG733" s="37"/>
    </row>
    <row r="734" spans="1:33" ht="14.25" customHeight="1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  <c r="AE734" s="37"/>
      <c r="AF734" s="37"/>
      <c r="AG734" s="37"/>
    </row>
    <row r="735" spans="1:33" ht="14.25" customHeight="1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  <c r="AE735" s="37"/>
      <c r="AF735" s="37"/>
      <c r="AG735" s="37"/>
    </row>
    <row r="736" spans="1:33" ht="14.25" customHeight="1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  <c r="AE736" s="37"/>
      <c r="AF736" s="37"/>
      <c r="AG736" s="37"/>
    </row>
    <row r="737" spans="1:33" ht="14.25" customHeight="1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  <c r="AE737" s="37"/>
      <c r="AF737" s="37"/>
      <c r="AG737" s="37"/>
    </row>
    <row r="738" spans="1:33" ht="14.25" customHeight="1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  <c r="AE738" s="37"/>
      <c r="AF738" s="37"/>
      <c r="AG738" s="37"/>
    </row>
    <row r="739" spans="1:33" ht="14.25" customHeight="1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  <c r="AE739" s="37"/>
      <c r="AF739" s="37"/>
      <c r="AG739" s="37"/>
    </row>
    <row r="740" spans="1:33" ht="14.25" customHeight="1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  <c r="AE740" s="37"/>
      <c r="AF740" s="37"/>
      <c r="AG740" s="37"/>
    </row>
    <row r="741" spans="1:33" ht="14.25" customHeight="1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  <c r="AE741" s="37"/>
      <c r="AF741" s="37"/>
      <c r="AG741" s="37"/>
    </row>
    <row r="742" spans="1:33" ht="14.25" customHeight="1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  <c r="AE742" s="37"/>
      <c r="AF742" s="37"/>
      <c r="AG742" s="37"/>
    </row>
    <row r="743" spans="1:33" ht="14.25" customHeight="1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  <c r="AE743" s="37"/>
      <c r="AF743" s="37"/>
      <c r="AG743" s="37"/>
    </row>
    <row r="744" spans="1:33" ht="14.25" customHeight="1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  <c r="AE744" s="37"/>
      <c r="AF744" s="37"/>
      <c r="AG744" s="37"/>
    </row>
    <row r="745" spans="1:33" ht="14.25" customHeight="1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  <c r="AE745" s="37"/>
      <c r="AF745" s="37"/>
      <c r="AG745" s="37"/>
    </row>
    <row r="746" spans="1:33" ht="14.25" customHeight="1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  <c r="AE746" s="37"/>
      <c r="AF746" s="37"/>
      <c r="AG746" s="37"/>
    </row>
    <row r="747" spans="1:33" ht="14.25" customHeight="1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  <c r="AE747" s="37"/>
      <c r="AF747" s="37"/>
      <c r="AG747" s="37"/>
    </row>
    <row r="748" spans="1:33" ht="14.25" customHeight="1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  <c r="AE748" s="37"/>
      <c r="AF748" s="37"/>
      <c r="AG748" s="37"/>
    </row>
    <row r="749" spans="1:33" ht="14.25" customHeight="1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  <c r="AE749" s="37"/>
      <c r="AF749" s="37"/>
      <c r="AG749" s="37"/>
    </row>
    <row r="750" spans="1:33" ht="14.25" customHeight="1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  <c r="AE750" s="37"/>
      <c r="AF750" s="37"/>
      <c r="AG750" s="37"/>
    </row>
    <row r="751" spans="1:33" ht="14.25" customHeight="1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  <c r="AE751" s="37"/>
      <c r="AF751" s="37"/>
      <c r="AG751" s="37"/>
    </row>
    <row r="752" spans="1:33" ht="14.25" customHeight="1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  <c r="AE752" s="37"/>
      <c r="AF752" s="37"/>
      <c r="AG752" s="37"/>
    </row>
    <row r="753" spans="1:33" ht="14.25" customHeight="1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  <c r="AE753" s="37"/>
      <c r="AF753" s="37"/>
      <c r="AG753" s="37"/>
    </row>
    <row r="754" spans="1:33" ht="14.25" customHeight="1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  <c r="AE754" s="37"/>
      <c r="AF754" s="37"/>
      <c r="AG754" s="37"/>
    </row>
    <row r="755" spans="1:33" ht="14.25" customHeight="1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  <c r="AE755" s="37"/>
      <c r="AF755" s="37"/>
      <c r="AG755" s="37"/>
    </row>
    <row r="756" spans="1:33" ht="14.25" customHeight="1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  <c r="AE756" s="37"/>
      <c r="AF756" s="37"/>
      <c r="AG756" s="37"/>
    </row>
    <row r="757" spans="1:33" ht="14.25" customHeight="1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  <c r="AE757" s="37"/>
      <c r="AF757" s="37"/>
      <c r="AG757" s="37"/>
    </row>
    <row r="758" spans="1:33" ht="14.25" customHeight="1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  <c r="AE758" s="37"/>
      <c r="AF758" s="37"/>
      <c r="AG758" s="37"/>
    </row>
    <row r="759" spans="1:33" ht="14.25" customHeight="1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  <c r="AE759" s="37"/>
      <c r="AF759" s="37"/>
      <c r="AG759" s="37"/>
    </row>
    <row r="760" spans="1:33" ht="14.25" customHeight="1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  <c r="AE760" s="37"/>
      <c r="AF760" s="37"/>
      <c r="AG760" s="37"/>
    </row>
    <row r="761" spans="1:33" ht="14.25" customHeight="1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  <c r="AE761" s="37"/>
      <c r="AF761" s="37"/>
      <c r="AG761" s="37"/>
    </row>
    <row r="762" spans="1:33" ht="14.25" customHeight="1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  <c r="AE762" s="37"/>
      <c r="AF762" s="37"/>
      <c r="AG762" s="37"/>
    </row>
    <row r="763" spans="1:33" ht="14.25" customHeight="1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  <c r="AE763" s="37"/>
      <c r="AF763" s="37"/>
      <c r="AG763" s="37"/>
    </row>
    <row r="764" spans="1:33" ht="14.25" customHeight="1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  <c r="AE764" s="37"/>
      <c r="AF764" s="37"/>
      <c r="AG764" s="37"/>
    </row>
    <row r="765" spans="1:33" ht="14.25" customHeight="1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  <c r="AE765" s="37"/>
      <c r="AF765" s="37"/>
      <c r="AG765" s="37"/>
    </row>
    <row r="766" spans="1:33" ht="14.25" customHeight="1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  <c r="AE766" s="37"/>
      <c r="AF766" s="37"/>
      <c r="AG766" s="37"/>
    </row>
    <row r="767" spans="1:33" ht="14.25" customHeight="1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  <c r="AE767" s="37"/>
      <c r="AF767" s="37"/>
      <c r="AG767" s="37"/>
    </row>
    <row r="768" spans="1:33" ht="14.25" customHeight="1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  <c r="AE768" s="37"/>
      <c r="AF768" s="37"/>
      <c r="AG768" s="37"/>
    </row>
    <row r="769" spans="1:33" ht="14.25" customHeight="1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  <c r="AE769" s="37"/>
      <c r="AF769" s="37"/>
      <c r="AG769" s="37"/>
    </row>
    <row r="770" spans="1:33" ht="14.25" customHeight="1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  <c r="AE770" s="37"/>
      <c r="AF770" s="37"/>
      <c r="AG770" s="37"/>
    </row>
    <row r="771" spans="1:33" ht="14.25" customHeight="1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  <c r="AE771" s="37"/>
      <c r="AF771" s="37"/>
      <c r="AG771" s="37"/>
    </row>
    <row r="772" spans="1:33" ht="14.25" customHeight="1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  <c r="AE772" s="37"/>
      <c r="AF772" s="37"/>
      <c r="AG772" s="37"/>
    </row>
    <row r="773" spans="1:33" ht="14.25" customHeight="1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  <c r="AE773" s="37"/>
      <c r="AF773" s="37"/>
      <c r="AG773" s="37"/>
    </row>
    <row r="774" spans="1:33" ht="14.25" customHeight="1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  <c r="AE774" s="37"/>
      <c r="AF774" s="37"/>
      <c r="AG774" s="37"/>
    </row>
    <row r="775" spans="1:33" ht="14.25" customHeight="1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  <c r="AE775" s="37"/>
      <c r="AF775" s="37"/>
      <c r="AG775" s="37"/>
    </row>
    <row r="776" spans="1:33" ht="14.25" customHeight="1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  <c r="AE776" s="37"/>
      <c r="AF776" s="37"/>
      <c r="AG776" s="37"/>
    </row>
    <row r="777" spans="1:33" ht="14.25" customHeight="1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  <c r="AE777" s="37"/>
      <c r="AF777" s="37"/>
      <c r="AG777" s="37"/>
    </row>
    <row r="778" spans="1:33" ht="14.25" customHeight="1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  <c r="AE778" s="37"/>
      <c r="AF778" s="37"/>
      <c r="AG778" s="37"/>
    </row>
    <row r="779" spans="1:33" ht="14.25" customHeight="1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  <c r="AE779" s="37"/>
      <c r="AF779" s="37"/>
      <c r="AG779" s="37"/>
    </row>
    <row r="780" spans="1:33" ht="14.25" customHeight="1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  <c r="AE780" s="37"/>
      <c r="AF780" s="37"/>
      <c r="AG780" s="37"/>
    </row>
    <row r="781" spans="1:33" ht="14.25" customHeight="1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  <c r="AE781" s="37"/>
      <c r="AF781" s="37"/>
      <c r="AG781" s="37"/>
    </row>
    <row r="782" spans="1:33" ht="14.25" customHeight="1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  <c r="AE782" s="37"/>
      <c r="AF782" s="37"/>
      <c r="AG782" s="37"/>
    </row>
    <row r="783" spans="1:33" ht="14.25" customHeight="1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  <c r="AE783" s="37"/>
      <c r="AF783" s="37"/>
      <c r="AG783" s="37"/>
    </row>
    <row r="784" spans="1:33" ht="14.25" customHeight="1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  <c r="AE784" s="37"/>
      <c r="AF784" s="37"/>
      <c r="AG784" s="37"/>
    </row>
    <row r="785" spans="1:33" ht="14.25" customHeight="1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  <c r="AE785" s="37"/>
      <c r="AF785" s="37"/>
      <c r="AG785" s="37"/>
    </row>
    <row r="786" spans="1:33" ht="14.25" customHeight="1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  <c r="AE786" s="37"/>
      <c r="AF786" s="37"/>
      <c r="AG786" s="37"/>
    </row>
    <row r="787" spans="1:33" ht="14.25" customHeight="1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  <c r="AE787" s="37"/>
      <c r="AF787" s="37"/>
      <c r="AG787" s="37"/>
    </row>
    <row r="788" spans="1:33" ht="14.25" customHeight="1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  <c r="AE788" s="37"/>
      <c r="AF788" s="37"/>
      <c r="AG788" s="37"/>
    </row>
    <row r="789" spans="1:33" ht="14.25" customHeight="1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  <c r="AE789" s="37"/>
      <c r="AF789" s="37"/>
      <c r="AG789" s="37"/>
    </row>
    <row r="790" spans="1:33" ht="14.25" customHeight="1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  <c r="AE790" s="37"/>
      <c r="AF790" s="37"/>
      <c r="AG790" s="37"/>
    </row>
    <row r="791" spans="1:33" ht="14.25" customHeight="1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  <c r="AE791" s="37"/>
      <c r="AF791" s="37"/>
      <c r="AG791" s="37"/>
    </row>
    <row r="792" spans="1:33" ht="14.25" customHeight="1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  <c r="AE792" s="37"/>
      <c r="AF792" s="37"/>
      <c r="AG792" s="37"/>
    </row>
    <row r="793" spans="1:33" ht="14.25" customHeight="1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  <c r="AE793" s="37"/>
      <c r="AF793" s="37"/>
      <c r="AG793" s="37"/>
    </row>
    <row r="794" spans="1:33" ht="14.25" customHeight="1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  <c r="AE794" s="37"/>
      <c r="AF794" s="37"/>
      <c r="AG794" s="37"/>
    </row>
    <row r="795" spans="1:33" ht="14.25" customHeight="1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  <c r="AE795" s="37"/>
      <c r="AF795" s="37"/>
      <c r="AG795" s="37"/>
    </row>
    <row r="796" spans="1:33" ht="14.25" customHeight="1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  <c r="AE796" s="37"/>
      <c r="AF796" s="37"/>
      <c r="AG796" s="37"/>
    </row>
    <row r="797" spans="1:33" ht="14.25" customHeight="1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  <c r="AE797" s="37"/>
      <c r="AF797" s="37"/>
      <c r="AG797" s="37"/>
    </row>
    <row r="798" spans="1:33" ht="14.25" customHeight="1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  <c r="AE798" s="37"/>
      <c r="AF798" s="37"/>
      <c r="AG798" s="37"/>
    </row>
    <row r="799" spans="1:33" ht="14.25" customHeight="1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  <c r="AE799" s="37"/>
      <c r="AF799" s="37"/>
      <c r="AG799" s="37"/>
    </row>
    <row r="800" spans="1:33" ht="14.25" customHeight="1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  <c r="AE800" s="37"/>
      <c r="AF800" s="37"/>
      <c r="AG800" s="37"/>
    </row>
    <row r="801" spans="1:33" ht="14.25" customHeight="1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  <c r="AE801" s="37"/>
      <c r="AF801" s="37"/>
      <c r="AG801" s="37"/>
    </row>
    <row r="802" spans="1:33" ht="14.25" customHeight="1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  <c r="AE802" s="37"/>
      <c r="AF802" s="37"/>
      <c r="AG802" s="37"/>
    </row>
    <row r="803" spans="1:33" ht="14.25" customHeight="1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  <c r="AE803" s="37"/>
      <c r="AF803" s="37"/>
      <c r="AG803" s="37"/>
    </row>
    <row r="804" spans="1:33" ht="14.25" customHeight="1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  <c r="AE804" s="37"/>
      <c r="AF804" s="37"/>
      <c r="AG804" s="37"/>
    </row>
    <row r="805" spans="1:33" ht="14.25" customHeight="1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  <c r="AE805" s="37"/>
      <c r="AF805" s="37"/>
      <c r="AG805" s="37"/>
    </row>
    <row r="806" spans="1:33" ht="14.25" customHeight="1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  <c r="AE806" s="37"/>
      <c r="AF806" s="37"/>
      <c r="AG806" s="37"/>
    </row>
    <row r="807" spans="1:33" ht="14.25" customHeight="1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  <c r="AE807" s="37"/>
      <c r="AF807" s="37"/>
      <c r="AG807" s="37"/>
    </row>
    <row r="808" spans="1:33" ht="14.25" customHeight="1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  <c r="AE808" s="37"/>
      <c r="AF808" s="37"/>
      <c r="AG808" s="37"/>
    </row>
    <row r="809" spans="1:33" ht="14.25" customHeight="1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  <c r="AE809" s="37"/>
      <c r="AF809" s="37"/>
      <c r="AG809" s="37"/>
    </row>
    <row r="810" spans="1:33" ht="14.25" customHeight="1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  <c r="AE810" s="37"/>
      <c r="AF810" s="37"/>
      <c r="AG810" s="37"/>
    </row>
    <row r="811" spans="1:33" ht="14.25" customHeight="1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  <c r="AE811" s="37"/>
      <c r="AF811" s="37"/>
      <c r="AG811" s="37"/>
    </row>
    <row r="812" spans="1:33" ht="14.25" customHeight="1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  <c r="AE812" s="37"/>
      <c r="AF812" s="37"/>
      <c r="AG812" s="37"/>
    </row>
    <row r="813" spans="1:33" ht="14.25" customHeight="1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  <c r="AE813" s="37"/>
      <c r="AF813" s="37"/>
      <c r="AG813" s="37"/>
    </row>
    <row r="814" spans="1:33" ht="14.25" customHeight="1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  <c r="AE814" s="37"/>
      <c r="AF814" s="37"/>
      <c r="AG814" s="37"/>
    </row>
    <row r="815" spans="1:33" ht="14.25" customHeight="1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  <c r="AE815" s="37"/>
      <c r="AF815" s="37"/>
      <c r="AG815" s="37"/>
    </row>
    <row r="816" spans="1:33" ht="14.25" customHeight="1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  <c r="AE816" s="37"/>
      <c r="AF816" s="37"/>
      <c r="AG816" s="37"/>
    </row>
    <row r="817" spans="1:33" ht="14.25" customHeight="1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  <c r="AE817" s="37"/>
      <c r="AF817" s="37"/>
      <c r="AG817" s="37"/>
    </row>
    <row r="818" spans="1:33" ht="14.25" customHeight="1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  <c r="AE818" s="37"/>
      <c r="AF818" s="37"/>
      <c r="AG818" s="37"/>
    </row>
    <row r="819" spans="1:33" ht="14.25" customHeight="1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  <c r="AE819" s="37"/>
      <c r="AF819" s="37"/>
      <c r="AG819" s="37"/>
    </row>
    <row r="820" spans="1:33" ht="14.25" customHeight="1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  <c r="AE820" s="37"/>
      <c r="AF820" s="37"/>
      <c r="AG820" s="37"/>
    </row>
    <row r="821" spans="1:33" ht="14.25" customHeight="1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  <c r="AE821" s="37"/>
      <c r="AF821" s="37"/>
      <c r="AG821" s="37"/>
    </row>
    <row r="822" spans="1:33" ht="14.25" customHeight="1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  <c r="AE822" s="37"/>
      <c r="AF822" s="37"/>
      <c r="AG822" s="37"/>
    </row>
    <row r="823" spans="1:33" ht="14.25" customHeight="1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  <c r="AE823" s="37"/>
      <c r="AF823" s="37"/>
      <c r="AG823" s="37"/>
    </row>
    <row r="824" spans="1:33" ht="14.25" customHeight="1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  <c r="AE824" s="37"/>
      <c r="AF824" s="37"/>
      <c r="AG824" s="37"/>
    </row>
    <row r="825" spans="1:33" ht="14.25" customHeight="1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  <c r="AE825" s="37"/>
      <c r="AF825" s="37"/>
      <c r="AG825" s="37"/>
    </row>
    <row r="826" spans="1:33" ht="14.25" customHeight="1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  <c r="AE826" s="37"/>
      <c r="AF826" s="37"/>
      <c r="AG826" s="37"/>
    </row>
    <row r="827" spans="1:33" ht="14.25" customHeight="1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  <c r="AE827" s="37"/>
      <c r="AF827" s="37"/>
      <c r="AG827" s="37"/>
    </row>
    <row r="828" spans="1:33" ht="14.25" customHeight="1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  <c r="AE828" s="37"/>
      <c r="AF828" s="37"/>
      <c r="AG828" s="37"/>
    </row>
    <row r="829" spans="1:33" ht="14.25" customHeight="1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  <c r="AE829" s="37"/>
      <c r="AF829" s="37"/>
      <c r="AG829" s="37"/>
    </row>
    <row r="830" spans="1:33" ht="14.25" customHeight="1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  <c r="AE830" s="37"/>
      <c r="AF830" s="37"/>
      <c r="AG830" s="37"/>
    </row>
    <row r="831" spans="1:33" ht="14.25" customHeight="1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  <c r="AE831" s="37"/>
      <c r="AF831" s="37"/>
      <c r="AG831" s="37"/>
    </row>
    <row r="832" spans="1:33" ht="14.25" customHeight="1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  <c r="AE832" s="37"/>
      <c r="AF832" s="37"/>
      <c r="AG832" s="37"/>
    </row>
    <row r="833" spans="1:33" ht="14.25" customHeight="1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  <c r="AE833" s="37"/>
      <c r="AF833" s="37"/>
      <c r="AG833" s="37"/>
    </row>
    <row r="834" spans="1:33" ht="14.25" customHeight="1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  <c r="AE834" s="37"/>
      <c r="AF834" s="37"/>
      <c r="AG834" s="37"/>
    </row>
    <row r="835" spans="1:33" ht="14.25" customHeight="1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  <c r="AE835" s="37"/>
      <c r="AF835" s="37"/>
      <c r="AG835" s="37"/>
    </row>
    <row r="836" spans="1:33" ht="14.25" customHeight="1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  <c r="AE836" s="37"/>
      <c r="AF836" s="37"/>
      <c r="AG836" s="37"/>
    </row>
    <row r="837" spans="1:33" ht="14.25" customHeight="1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  <c r="AE837" s="37"/>
      <c r="AF837" s="37"/>
      <c r="AG837" s="37"/>
    </row>
    <row r="838" spans="1:33" ht="14.25" customHeight="1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  <c r="AE838" s="37"/>
      <c r="AF838" s="37"/>
      <c r="AG838" s="37"/>
    </row>
    <row r="839" spans="1:33" ht="14.25" customHeight="1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  <c r="AE839" s="37"/>
      <c r="AF839" s="37"/>
      <c r="AG839" s="37"/>
    </row>
    <row r="840" spans="1:33" ht="14.25" customHeight="1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  <c r="AE840" s="37"/>
      <c r="AF840" s="37"/>
      <c r="AG840" s="37"/>
    </row>
    <row r="841" spans="1:33" ht="14.25" customHeight="1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  <c r="AE841" s="37"/>
      <c r="AF841" s="37"/>
      <c r="AG841" s="37"/>
    </row>
    <row r="842" spans="1:33" ht="14.25" customHeight="1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  <c r="AE842" s="37"/>
      <c r="AF842" s="37"/>
      <c r="AG842" s="37"/>
    </row>
    <row r="843" spans="1:33" ht="14.25" customHeight="1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  <c r="AE843" s="37"/>
      <c r="AF843" s="37"/>
      <c r="AG843" s="37"/>
    </row>
    <row r="844" spans="1:33" ht="14.25" customHeight="1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  <c r="AE844" s="37"/>
      <c r="AF844" s="37"/>
      <c r="AG844" s="37"/>
    </row>
    <row r="845" spans="1:33" ht="14.25" customHeight="1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  <c r="AE845" s="37"/>
      <c r="AF845" s="37"/>
      <c r="AG845" s="37"/>
    </row>
    <row r="846" spans="1:33" ht="14.25" customHeight="1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  <c r="AE846" s="37"/>
      <c r="AF846" s="37"/>
      <c r="AG846" s="37"/>
    </row>
    <row r="847" spans="1:33" ht="14.25" customHeight="1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  <c r="AE847" s="37"/>
      <c r="AF847" s="37"/>
      <c r="AG847" s="37"/>
    </row>
    <row r="848" spans="1:33" ht="14.25" customHeight="1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  <c r="AE848" s="37"/>
      <c r="AF848" s="37"/>
      <c r="AG848" s="37"/>
    </row>
    <row r="849" spans="1:33" ht="14.25" customHeight="1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  <c r="AE849" s="37"/>
      <c r="AF849" s="37"/>
      <c r="AG849" s="37"/>
    </row>
    <row r="850" spans="1:33" ht="14.25" customHeight="1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  <c r="AE850" s="37"/>
      <c r="AF850" s="37"/>
      <c r="AG850" s="37"/>
    </row>
    <row r="851" spans="1:33" ht="14.25" customHeight="1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  <c r="AE851" s="37"/>
      <c r="AF851" s="37"/>
      <c r="AG851" s="37"/>
    </row>
    <row r="852" spans="1:33" ht="14.25" customHeight="1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  <c r="AE852" s="37"/>
      <c r="AF852" s="37"/>
      <c r="AG852" s="37"/>
    </row>
    <row r="853" spans="1:33" ht="14.25" customHeight="1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  <c r="AE853" s="37"/>
      <c r="AF853" s="37"/>
      <c r="AG853" s="37"/>
    </row>
    <row r="854" spans="1:33" ht="14.25" customHeight="1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  <c r="AE854" s="37"/>
      <c r="AF854" s="37"/>
      <c r="AG854" s="37"/>
    </row>
    <row r="855" spans="1:33" ht="14.25" customHeight="1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  <c r="AE855" s="37"/>
      <c r="AF855" s="37"/>
      <c r="AG855" s="37"/>
    </row>
    <row r="856" spans="1:33" ht="14.25" customHeight="1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  <c r="AE856" s="37"/>
      <c r="AF856" s="37"/>
      <c r="AG856" s="37"/>
    </row>
    <row r="857" spans="1:33" ht="14.25" customHeight="1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  <c r="AE857" s="37"/>
      <c r="AF857" s="37"/>
      <c r="AG857" s="37"/>
    </row>
    <row r="858" spans="1:33" ht="14.25" customHeight="1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  <c r="AE858" s="37"/>
      <c r="AF858" s="37"/>
      <c r="AG858" s="37"/>
    </row>
    <row r="859" spans="1:33" ht="14.25" customHeight="1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  <c r="AE859" s="37"/>
      <c r="AF859" s="37"/>
      <c r="AG859" s="37"/>
    </row>
    <row r="860" spans="1:33" ht="14.25" customHeight="1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  <c r="AE860" s="37"/>
      <c r="AF860" s="37"/>
      <c r="AG860" s="37"/>
    </row>
    <row r="861" spans="1:33" ht="14.25" customHeight="1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  <c r="AE861" s="37"/>
      <c r="AF861" s="37"/>
      <c r="AG861" s="37"/>
    </row>
    <row r="862" spans="1:33" ht="14.25" customHeight="1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  <c r="AE862" s="37"/>
      <c r="AF862" s="37"/>
      <c r="AG862" s="37"/>
    </row>
    <row r="863" spans="1:33" ht="14.25" customHeight="1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  <c r="AE863" s="37"/>
      <c r="AF863" s="37"/>
      <c r="AG863" s="37"/>
    </row>
    <row r="864" spans="1:33" ht="14.25" customHeight="1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  <c r="AE864" s="37"/>
      <c r="AF864" s="37"/>
      <c r="AG864" s="37"/>
    </row>
    <row r="865" spans="1:33" ht="14.25" customHeight="1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  <c r="AE865" s="37"/>
      <c r="AF865" s="37"/>
      <c r="AG865" s="37"/>
    </row>
    <row r="866" spans="1:33" ht="14.25" customHeight="1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  <c r="AE866" s="37"/>
      <c r="AF866" s="37"/>
      <c r="AG866" s="37"/>
    </row>
    <row r="867" spans="1:33" ht="14.25" customHeight="1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  <c r="AE867" s="37"/>
      <c r="AF867" s="37"/>
      <c r="AG867" s="37"/>
    </row>
    <row r="868" spans="1:33" ht="14.25" customHeight="1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  <c r="AE868" s="37"/>
      <c r="AF868" s="37"/>
      <c r="AG868" s="37"/>
    </row>
    <row r="869" spans="1:33" ht="14.25" customHeight="1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  <c r="AE869" s="37"/>
      <c r="AF869" s="37"/>
      <c r="AG869" s="37"/>
    </row>
    <row r="870" spans="1:33" ht="14.25" customHeight="1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  <c r="AE870" s="37"/>
      <c r="AF870" s="37"/>
      <c r="AG870" s="37"/>
    </row>
    <row r="871" spans="1:33" ht="14.25" customHeight="1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  <c r="AE871" s="37"/>
      <c r="AF871" s="37"/>
      <c r="AG871" s="37"/>
    </row>
    <row r="872" spans="1:33" ht="14.25" customHeight="1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  <c r="AE872" s="37"/>
      <c r="AF872" s="37"/>
      <c r="AG872" s="37"/>
    </row>
    <row r="873" spans="1:33" ht="14.25" customHeight="1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  <c r="AE873" s="37"/>
      <c r="AF873" s="37"/>
      <c r="AG873" s="37"/>
    </row>
    <row r="874" spans="1:33" ht="14.25" customHeight="1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  <c r="AE874" s="37"/>
      <c r="AF874" s="37"/>
      <c r="AG874" s="37"/>
    </row>
    <row r="875" spans="1:33" ht="14.25" customHeight="1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  <c r="AE875" s="37"/>
      <c r="AF875" s="37"/>
      <c r="AG875" s="37"/>
    </row>
    <row r="876" spans="1:33" ht="14.25" customHeight="1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  <c r="AE876" s="37"/>
      <c r="AF876" s="37"/>
      <c r="AG876" s="37"/>
    </row>
    <row r="877" spans="1:33" ht="14.25" customHeight="1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  <c r="AE877" s="37"/>
      <c r="AF877" s="37"/>
      <c r="AG877" s="37"/>
    </row>
    <row r="878" spans="1:33" ht="14.25" customHeight="1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  <c r="AE878" s="37"/>
      <c r="AF878" s="37"/>
      <c r="AG878" s="37"/>
    </row>
    <row r="879" spans="1:33" ht="14.25" customHeight="1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  <c r="AE879" s="37"/>
      <c r="AF879" s="37"/>
      <c r="AG879" s="37"/>
    </row>
    <row r="880" spans="1:33" ht="14.25" customHeight="1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  <c r="AE880" s="37"/>
      <c r="AF880" s="37"/>
      <c r="AG880" s="37"/>
    </row>
    <row r="881" spans="1:33" ht="14.25" customHeight="1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  <c r="AE881" s="37"/>
      <c r="AF881" s="37"/>
      <c r="AG881" s="37"/>
    </row>
    <row r="882" spans="1:33" ht="14.25" customHeight="1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  <c r="AE882" s="37"/>
      <c r="AF882" s="37"/>
      <c r="AG882" s="37"/>
    </row>
    <row r="883" spans="1:33" ht="14.25" customHeight="1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  <c r="AE883" s="37"/>
      <c r="AF883" s="37"/>
      <c r="AG883" s="37"/>
    </row>
    <row r="884" spans="1:33" ht="14.25" customHeight="1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  <c r="AE884" s="37"/>
      <c r="AF884" s="37"/>
      <c r="AG884" s="37"/>
    </row>
    <row r="885" spans="1:33" ht="14.25" customHeight="1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  <c r="AE885" s="37"/>
      <c r="AF885" s="37"/>
      <c r="AG885" s="37"/>
    </row>
    <row r="886" spans="1:33" ht="14.25" customHeight="1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  <c r="AE886" s="37"/>
      <c r="AF886" s="37"/>
      <c r="AG886" s="37"/>
    </row>
    <row r="887" spans="1:33" ht="14.25" customHeight="1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  <c r="AE887" s="37"/>
      <c r="AF887" s="37"/>
      <c r="AG887" s="37"/>
    </row>
    <row r="888" spans="1:33" ht="14.25" customHeight="1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  <c r="AE888" s="37"/>
      <c r="AF888" s="37"/>
      <c r="AG888" s="37"/>
    </row>
    <row r="889" spans="1:33" ht="14.25" customHeight="1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  <c r="AE889" s="37"/>
      <c r="AF889" s="37"/>
      <c r="AG889" s="37"/>
    </row>
    <row r="890" spans="1:33" ht="14.25" customHeight="1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  <c r="AE890" s="37"/>
      <c r="AF890" s="37"/>
      <c r="AG890" s="37"/>
    </row>
    <row r="891" spans="1:33" ht="14.25" customHeight="1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  <c r="AE891" s="37"/>
      <c r="AF891" s="37"/>
      <c r="AG891" s="37"/>
    </row>
    <row r="892" spans="1:33" ht="14.25" customHeight="1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  <c r="AE892" s="37"/>
      <c r="AF892" s="37"/>
      <c r="AG892" s="37"/>
    </row>
    <row r="893" spans="1:33" ht="14.25" customHeight="1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  <c r="AE893" s="37"/>
      <c r="AF893" s="37"/>
      <c r="AG893" s="37"/>
    </row>
    <row r="894" spans="1:33" ht="14.25" customHeight="1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  <c r="AE894" s="37"/>
      <c r="AF894" s="37"/>
      <c r="AG894" s="37"/>
    </row>
    <row r="895" spans="1:33" ht="14.25" customHeight="1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  <c r="AE895" s="37"/>
      <c r="AF895" s="37"/>
      <c r="AG895" s="37"/>
    </row>
    <row r="896" spans="1:33" ht="14.25" customHeight="1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  <c r="AE896" s="37"/>
      <c r="AF896" s="37"/>
      <c r="AG896" s="37"/>
    </row>
    <row r="897" spans="1:33" ht="14.25" customHeight="1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  <c r="AE897" s="37"/>
      <c r="AF897" s="37"/>
      <c r="AG897" s="37"/>
    </row>
    <row r="898" spans="1:33" ht="14.25" customHeight="1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  <c r="AE898" s="37"/>
      <c r="AF898" s="37"/>
      <c r="AG898" s="37"/>
    </row>
    <row r="899" spans="1:33" ht="14.25" customHeight="1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  <c r="AE899" s="37"/>
      <c r="AF899" s="37"/>
      <c r="AG899" s="37"/>
    </row>
    <row r="900" spans="1:33" ht="14.25" customHeight="1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  <c r="AE900" s="37"/>
      <c r="AF900" s="37"/>
      <c r="AG900" s="37"/>
    </row>
    <row r="901" spans="1:33" ht="14.25" customHeight="1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  <c r="AE901" s="37"/>
      <c r="AF901" s="37"/>
      <c r="AG901" s="37"/>
    </row>
    <row r="902" spans="1:33" ht="14.25" customHeight="1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  <c r="AE902" s="37"/>
      <c r="AF902" s="37"/>
      <c r="AG902" s="37"/>
    </row>
    <row r="903" spans="1:33" ht="14.25" customHeight="1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  <c r="AE903" s="37"/>
      <c r="AF903" s="37"/>
      <c r="AG903" s="37"/>
    </row>
    <row r="904" spans="1:33" ht="14.25" customHeight="1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  <c r="AE904" s="37"/>
      <c r="AF904" s="37"/>
      <c r="AG904" s="37"/>
    </row>
    <row r="905" spans="1:33" ht="14.25" customHeight="1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  <c r="AE905" s="37"/>
      <c r="AF905" s="37"/>
      <c r="AG905" s="37"/>
    </row>
    <row r="906" spans="1:33" ht="14.25" customHeight="1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  <c r="AE906" s="37"/>
      <c r="AF906" s="37"/>
      <c r="AG906" s="37"/>
    </row>
    <row r="907" spans="1:33" ht="14.25" customHeight="1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  <c r="AD907" s="37"/>
      <c r="AE907" s="37"/>
      <c r="AF907" s="37"/>
      <c r="AG907" s="37"/>
    </row>
    <row r="908" spans="1:33" ht="14.25" customHeight="1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  <c r="AD908" s="37"/>
      <c r="AE908" s="37"/>
      <c r="AF908" s="37"/>
      <c r="AG908" s="37"/>
    </row>
    <row r="909" spans="1:33" ht="14.25" customHeight="1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  <c r="AD909" s="37"/>
      <c r="AE909" s="37"/>
      <c r="AF909" s="37"/>
      <c r="AG909" s="37"/>
    </row>
    <row r="910" spans="1:33" ht="14.25" customHeight="1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  <c r="AD910" s="37"/>
      <c r="AE910" s="37"/>
      <c r="AF910" s="37"/>
      <c r="AG910" s="37"/>
    </row>
    <row r="911" spans="1:33" ht="14.25" customHeight="1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  <c r="AD911" s="37"/>
      <c r="AE911" s="37"/>
      <c r="AF911" s="37"/>
      <c r="AG911" s="37"/>
    </row>
    <row r="912" spans="1:33" ht="14.25" customHeight="1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  <c r="AD912" s="37"/>
      <c r="AE912" s="37"/>
      <c r="AF912" s="37"/>
      <c r="AG912" s="37"/>
    </row>
    <row r="913" spans="1:33" ht="14.25" customHeight="1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  <c r="AD913" s="37"/>
      <c r="AE913" s="37"/>
      <c r="AF913" s="37"/>
      <c r="AG913" s="37"/>
    </row>
    <row r="914" spans="1:33" ht="14.25" customHeight="1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  <c r="AE914" s="37"/>
      <c r="AF914" s="37"/>
      <c r="AG914" s="37"/>
    </row>
    <row r="915" spans="1:33" ht="14.25" customHeight="1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  <c r="AD915" s="37"/>
      <c r="AE915" s="37"/>
      <c r="AF915" s="37"/>
      <c r="AG915" s="37"/>
    </row>
    <row r="916" spans="1:33" ht="14.25" customHeight="1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  <c r="AD916" s="37"/>
      <c r="AE916" s="37"/>
      <c r="AF916" s="37"/>
      <c r="AG916" s="37"/>
    </row>
    <row r="917" spans="1:33" ht="14.25" customHeight="1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  <c r="AD917" s="37"/>
      <c r="AE917" s="37"/>
      <c r="AF917" s="37"/>
      <c r="AG917" s="37"/>
    </row>
    <row r="918" spans="1:33" ht="14.25" customHeight="1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  <c r="AD918" s="37"/>
      <c r="AE918" s="37"/>
      <c r="AF918" s="37"/>
      <c r="AG918" s="37"/>
    </row>
    <row r="919" spans="1:33" ht="14.25" customHeight="1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  <c r="AD919" s="37"/>
      <c r="AE919" s="37"/>
      <c r="AF919" s="37"/>
      <c r="AG919" s="37"/>
    </row>
    <row r="920" spans="1:33" ht="14.25" customHeight="1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  <c r="AD920" s="37"/>
      <c r="AE920" s="37"/>
      <c r="AF920" s="37"/>
      <c r="AG920" s="37"/>
    </row>
    <row r="921" spans="1:33" ht="14.25" customHeight="1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  <c r="AD921" s="37"/>
      <c r="AE921" s="37"/>
      <c r="AF921" s="37"/>
      <c r="AG921" s="37"/>
    </row>
    <row r="922" spans="1:33" ht="14.25" customHeight="1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  <c r="AD922" s="37"/>
      <c r="AE922" s="37"/>
      <c r="AF922" s="37"/>
      <c r="AG922" s="37"/>
    </row>
    <row r="923" spans="1:33" ht="14.25" customHeight="1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  <c r="AD923" s="37"/>
      <c r="AE923" s="37"/>
      <c r="AF923" s="37"/>
      <c r="AG923" s="37"/>
    </row>
    <row r="924" spans="1:33" ht="14.25" customHeight="1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  <c r="AD924" s="37"/>
      <c r="AE924" s="37"/>
      <c r="AF924" s="37"/>
      <c r="AG924" s="37"/>
    </row>
    <row r="925" spans="1:33" ht="14.25" customHeight="1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  <c r="AD925" s="37"/>
      <c r="AE925" s="37"/>
      <c r="AF925" s="37"/>
      <c r="AG925" s="37"/>
    </row>
    <row r="926" spans="1:33" ht="14.25" customHeight="1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  <c r="AD926" s="37"/>
      <c r="AE926" s="37"/>
      <c r="AF926" s="37"/>
      <c r="AG926" s="37"/>
    </row>
    <row r="927" spans="1:33" ht="14.25" customHeight="1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  <c r="AD927" s="37"/>
      <c r="AE927" s="37"/>
      <c r="AF927" s="37"/>
      <c r="AG927" s="37"/>
    </row>
    <row r="928" spans="1:33" ht="14.25" customHeight="1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  <c r="AD928" s="37"/>
      <c r="AE928" s="37"/>
      <c r="AF928" s="37"/>
      <c r="AG928" s="37"/>
    </row>
    <row r="929" spans="1:33" ht="14.25" customHeight="1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  <c r="AD929" s="37"/>
      <c r="AE929" s="37"/>
      <c r="AF929" s="37"/>
      <c r="AG929" s="37"/>
    </row>
    <row r="930" spans="1:33" ht="14.25" customHeight="1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  <c r="AD930" s="37"/>
      <c r="AE930" s="37"/>
      <c r="AF930" s="37"/>
      <c r="AG930" s="37"/>
    </row>
    <row r="931" spans="1:33" ht="14.25" customHeight="1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  <c r="AD931" s="37"/>
      <c r="AE931" s="37"/>
      <c r="AF931" s="37"/>
      <c r="AG931" s="37"/>
    </row>
    <row r="932" spans="1:33" ht="14.25" customHeight="1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  <c r="AD932" s="37"/>
      <c r="AE932" s="37"/>
      <c r="AF932" s="37"/>
      <c r="AG932" s="37"/>
    </row>
    <row r="933" spans="1:33" ht="14.25" customHeight="1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  <c r="AD933" s="37"/>
      <c r="AE933" s="37"/>
      <c r="AF933" s="37"/>
      <c r="AG933" s="37"/>
    </row>
    <row r="934" spans="1:33" ht="14.25" customHeight="1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  <c r="AD934" s="37"/>
      <c r="AE934" s="37"/>
      <c r="AF934" s="37"/>
      <c r="AG934" s="37"/>
    </row>
    <row r="935" spans="1:33" ht="14.25" customHeight="1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  <c r="AD935" s="37"/>
      <c r="AE935" s="37"/>
      <c r="AF935" s="37"/>
      <c r="AG935" s="37"/>
    </row>
    <row r="936" spans="1:33" ht="14.25" customHeight="1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  <c r="AD936" s="37"/>
      <c r="AE936" s="37"/>
      <c r="AF936" s="37"/>
      <c r="AG936" s="37"/>
    </row>
    <row r="937" spans="1:33" ht="14.25" customHeight="1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  <c r="AD937" s="37"/>
      <c r="AE937" s="37"/>
      <c r="AF937" s="37"/>
      <c r="AG937" s="37"/>
    </row>
    <row r="938" spans="1:33" ht="14.25" customHeight="1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  <c r="AD938" s="37"/>
      <c r="AE938" s="37"/>
      <c r="AF938" s="37"/>
      <c r="AG938" s="37"/>
    </row>
    <row r="939" spans="1:33" ht="14.25" customHeight="1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  <c r="AE939" s="37"/>
      <c r="AF939" s="37"/>
      <c r="AG939" s="37"/>
    </row>
    <row r="940" spans="1:33" ht="14.25" customHeight="1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  <c r="AD940" s="37"/>
      <c r="AE940" s="37"/>
      <c r="AF940" s="37"/>
      <c r="AG940" s="37"/>
    </row>
    <row r="941" spans="1:33" ht="14.25" customHeight="1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  <c r="AD941" s="37"/>
      <c r="AE941" s="37"/>
      <c r="AF941" s="37"/>
      <c r="AG941" s="37"/>
    </row>
    <row r="942" spans="1:33" ht="14.25" customHeight="1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  <c r="AE942" s="37"/>
      <c r="AF942" s="37"/>
      <c r="AG942" s="37"/>
    </row>
    <row r="943" spans="1:33" ht="14.25" customHeight="1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  <c r="AD943" s="37"/>
      <c r="AE943" s="37"/>
      <c r="AF943" s="37"/>
      <c r="AG943" s="37"/>
    </row>
    <row r="944" spans="1:33" ht="14.25" customHeight="1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  <c r="AD944" s="37"/>
      <c r="AE944" s="37"/>
      <c r="AF944" s="37"/>
      <c r="AG944" s="37"/>
    </row>
    <row r="945" spans="1:33" ht="14.25" customHeight="1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  <c r="AD945" s="37"/>
      <c r="AE945" s="37"/>
      <c r="AF945" s="37"/>
      <c r="AG945" s="37"/>
    </row>
    <row r="946" spans="1:33" ht="14.25" customHeight="1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  <c r="AD946" s="37"/>
      <c r="AE946" s="37"/>
      <c r="AF946" s="37"/>
      <c r="AG946" s="37"/>
    </row>
    <row r="947" spans="1:33" ht="14.25" customHeight="1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  <c r="AD947" s="37"/>
      <c r="AE947" s="37"/>
      <c r="AF947" s="37"/>
      <c r="AG947" s="37"/>
    </row>
    <row r="948" spans="1:33" ht="14.25" customHeight="1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  <c r="AD948" s="37"/>
      <c r="AE948" s="37"/>
      <c r="AF948" s="37"/>
      <c r="AG948" s="37"/>
    </row>
    <row r="949" spans="1:33" ht="14.25" customHeight="1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  <c r="AD949" s="37"/>
      <c r="AE949" s="37"/>
      <c r="AF949" s="37"/>
      <c r="AG949" s="37"/>
    </row>
    <row r="950" spans="1:33" ht="14.25" customHeight="1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  <c r="AD950" s="37"/>
      <c r="AE950" s="37"/>
      <c r="AF950" s="37"/>
      <c r="AG950" s="37"/>
    </row>
    <row r="951" spans="1:33" ht="14.25" customHeight="1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  <c r="AD951" s="37"/>
      <c r="AE951" s="37"/>
      <c r="AF951" s="37"/>
      <c r="AG951" s="37"/>
    </row>
    <row r="952" spans="1:33" ht="14.25" customHeight="1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  <c r="AD952" s="37"/>
      <c r="AE952" s="37"/>
      <c r="AF952" s="37"/>
      <c r="AG952" s="37"/>
    </row>
    <row r="953" spans="1:33" ht="14.25" customHeight="1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  <c r="AD953" s="37"/>
      <c r="AE953" s="37"/>
      <c r="AF953" s="37"/>
      <c r="AG953" s="37"/>
    </row>
    <row r="954" spans="1:33" ht="14.25" customHeight="1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  <c r="AD954" s="37"/>
      <c r="AE954" s="37"/>
      <c r="AF954" s="37"/>
      <c r="AG954" s="37"/>
    </row>
    <row r="955" spans="1:33" ht="14.25" customHeight="1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  <c r="AD955" s="37"/>
      <c r="AE955" s="37"/>
      <c r="AF955" s="37"/>
      <c r="AG955" s="37"/>
    </row>
    <row r="956" spans="1:33" ht="14.25" customHeight="1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  <c r="AD956" s="37"/>
      <c r="AE956" s="37"/>
      <c r="AF956" s="37"/>
      <c r="AG956" s="37"/>
    </row>
    <row r="957" spans="1:33" ht="14.25" customHeight="1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  <c r="AD957" s="37"/>
      <c r="AE957" s="37"/>
      <c r="AF957" s="37"/>
      <c r="AG957" s="37"/>
    </row>
    <row r="958" spans="1:33" ht="14.25" customHeight="1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  <c r="AD958" s="37"/>
      <c r="AE958" s="37"/>
      <c r="AF958" s="37"/>
      <c r="AG958" s="37"/>
    </row>
    <row r="959" spans="1:33" ht="14.25" customHeight="1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  <c r="AD959" s="37"/>
      <c r="AE959" s="37"/>
      <c r="AF959" s="37"/>
      <c r="AG959" s="37"/>
    </row>
    <row r="960" spans="1:33" ht="14.25" customHeight="1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  <c r="AD960" s="37"/>
      <c r="AE960" s="37"/>
      <c r="AF960" s="37"/>
      <c r="AG960" s="37"/>
    </row>
    <row r="961" spans="1:33" ht="14.25" customHeight="1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  <c r="AC961" s="37"/>
      <c r="AD961" s="37"/>
      <c r="AE961" s="37"/>
      <c r="AF961" s="37"/>
      <c r="AG961" s="37"/>
    </row>
    <row r="962" spans="1:33" ht="14.25" customHeight="1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  <c r="AD962" s="37"/>
      <c r="AE962" s="37"/>
      <c r="AF962" s="37"/>
      <c r="AG962" s="37"/>
    </row>
    <row r="963" spans="1:33" ht="14.25" customHeight="1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  <c r="AC963" s="37"/>
      <c r="AD963" s="37"/>
      <c r="AE963" s="37"/>
      <c r="AF963" s="37"/>
      <c r="AG963" s="37"/>
    </row>
    <row r="964" spans="1:33" ht="14.25" customHeight="1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  <c r="AC964" s="37"/>
      <c r="AD964" s="37"/>
      <c r="AE964" s="37"/>
      <c r="AF964" s="37"/>
      <c r="AG964" s="37"/>
    </row>
    <row r="965" spans="1:33" ht="14.25" customHeight="1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  <c r="AC965" s="37"/>
      <c r="AD965" s="37"/>
      <c r="AE965" s="37"/>
      <c r="AF965" s="37"/>
      <c r="AG965" s="37"/>
    </row>
    <row r="966" spans="1:33" ht="14.25" customHeight="1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  <c r="AD966" s="37"/>
      <c r="AE966" s="37"/>
      <c r="AF966" s="37"/>
      <c r="AG966" s="37"/>
    </row>
    <row r="967" spans="1:33" ht="14.25" customHeight="1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  <c r="AC967" s="37"/>
      <c r="AD967" s="37"/>
      <c r="AE967" s="37"/>
      <c r="AF967" s="37"/>
      <c r="AG967" s="37"/>
    </row>
    <row r="968" spans="1:33" ht="14.25" customHeight="1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  <c r="AC968" s="37"/>
      <c r="AD968" s="37"/>
      <c r="AE968" s="37"/>
      <c r="AF968" s="37"/>
      <c r="AG968" s="37"/>
    </row>
    <row r="969" spans="1:33" ht="14.25" customHeight="1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  <c r="AC969" s="37"/>
      <c r="AD969" s="37"/>
      <c r="AE969" s="37"/>
      <c r="AF969" s="37"/>
      <c r="AG969" s="37"/>
    </row>
    <row r="970" spans="1:33" ht="14.25" customHeight="1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  <c r="AC970" s="37"/>
      <c r="AD970" s="37"/>
      <c r="AE970" s="37"/>
      <c r="AF970" s="37"/>
      <c r="AG970" s="37"/>
    </row>
    <row r="971" spans="1:33" ht="14.25" customHeight="1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  <c r="AB971" s="37"/>
      <c r="AC971" s="37"/>
      <c r="AD971" s="37"/>
      <c r="AE971" s="37"/>
      <c r="AF971" s="37"/>
      <c r="AG971" s="37"/>
    </row>
    <row r="972" spans="1:33" ht="14.25" customHeight="1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  <c r="AB972" s="37"/>
      <c r="AC972" s="37"/>
      <c r="AD972" s="37"/>
      <c r="AE972" s="37"/>
      <c r="AF972" s="37"/>
      <c r="AG972" s="37"/>
    </row>
    <row r="973" spans="1:33" ht="14.25" customHeight="1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  <c r="AB973" s="37"/>
      <c r="AC973" s="37"/>
      <c r="AD973" s="37"/>
      <c r="AE973" s="37"/>
      <c r="AF973" s="37"/>
      <c r="AG973" s="37"/>
    </row>
    <row r="974" spans="1:33" ht="14.25" customHeight="1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  <c r="AB974" s="37"/>
      <c r="AC974" s="37"/>
      <c r="AD974" s="37"/>
      <c r="AE974" s="37"/>
      <c r="AF974" s="37"/>
      <c r="AG974" s="37"/>
    </row>
    <row r="975" spans="1:33" ht="14.25" customHeight="1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  <c r="AB975" s="37"/>
      <c r="AC975" s="37"/>
      <c r="AD975" s="37"/>
      <c r="AE975" s="37"/>
      <c r="AF975" s="37"/>
      <c r="AG975" s="37"/>
    </row>
    <row r="976" spans="1:33" ht="14.25" customHeight="1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  <c r="AB976" s="37"/>
      <c r="AC976" s="37"/>
      <c r="AD976" s="37"/>
      <c r="AE976" s="37"/>
      <c r="AF976" s="37"/>
      <c r="AG976" s="37"/>
    </row>
    <row r="977" spans="1:33" ht="14.25" customHeight="1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  <c r="AC977" s="37"/>
      <c r="AD977" s="37"/>
      <c r="AE977" s="37"/>
      <c r="AF977" s="37"/>
      <c r="AG977" s="37"/>
    </row>
    <row r="978" spans="1:33" ht="14.25" customHeight="1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  <c r="AB978" s="37"/>
      <c r="AC978" s="37"/>
      <c r="AD978" s="37"/>
      <c r="AE978" s="37"/>
      <c r="AF978" s="37"/>
      <c r="AG978" s="37"/>
    </row>
    <row r="979" spans="1:33" ht="14.25" customHeight="1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B979" s="37"/>
      <c r="AC979" s="37"/>
      <c r="AD979" s="37"/>
      <c r="AE979" s="37"/>
      <c r="AF979" s="37"/>
      <c r="AG979" s="37"/>
    </row>
    <row r="980" spans="1:33" ht="14.25" customHeight="1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  <c r="AC980" s="37"/>
      <c r="AD980" s="37"/>
      <c r="AE980" s="37"/>
      <c r="AF980" s="37"/>
      <c r="AG980" s="37"/>
    </row>
    <row r="981" spans="1:33" ht="14.25" customHeight="1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B981" s="37"/>
      <c r="AC981" s="37"/>
      <c r="AD981" s="37"/>
      <c r="AE981" s="37"/>
      <c r="AF981" s="37"/>
      <c r="AG981" s="37"/>
    </row>
    <row r="982" spans="1:33" ht="14.25" customHeight="1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  <c r="AB982" s="37"/>
      <c r="AC982" s="37"/>
      <c r="AD982" s="37"/>
      <c r="AE982" s="37"/>
      <c r="AF982" s="37"/>
      <c r="AG982" s="37"/>
    </row>
    <row r="983" spans="1:33" ht="14.25" customHeight="1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  <c r="AB983" s="37"/>
      <c r="AC983" s="37"/>
      <c r="AD983" s="37"/>
      <c r="AE983" s="37"/>
      <c r="AF983" s="37"/>
      <c r="AG983" s="37"/>
    </row>
    <row r="984" spans="1:33" ht="14.25" customHeight="1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  <c r="AB984" s="37"/>
      <c r="AC984" s="37"/>
      <c r="AD984" s="37"/>
      <c r="AE984" s="37"/>
      <c r="AF984" s="37"/>
      <c r="AG984" s="37"/>
    </row>
    <row r="985" spans="1:33" ht="14.25" customHeight="1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  <c r="AB985" s="37"/>
      <c r="AC985" s="37"/>
      <c r="AD985" s="37"/>
      <c r="AE985" s="37"/>
      <c r="AF985" s="37"/>
      <c r="AG985" s="37"/>
    </row>
    <row r="986" spans="1:33" ht="14.25" customHeight="1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37"/>
      <c r="AB986" s="37"/>
      <c r="AC986" s="37"/>
      <c r="AD986" s="37"/>
      <c r="AE986" s="37"/>
      <c r="AF986" s="37"/>
      <c r="AG986" s="37"/>
    </row>
    <row r="987" spans="1:33" ht="14.25" customHeight="1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  <c r="AB987" s="37"/>
      <c r="AC987" s="37"/>
      <c r="AD987" s="37"/>
      <c r="AE987" s="37"/>
      <c r="AF987" s="37"/>
      <c r="AG987" s="37"/>
    </row>
    <row r="988" spans="1:33" ht="14.25" customHeight="1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  <c r="AB988" s="37"/>
      <c r="AC988" s="37"/>
      <c r="AD988" s="37"/>
      <c r="AE988" s="37"/>
      <c r="AF988" s="37"/>
      <c r="AG988" s="37"/>
    </row>
    <row r="989" spans="1:33" ht="14.25" customHeight="1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  <c r="AB989" s="37"/>
      <c r="AC989" s="37"/>
      <c r="AD989" s="37"/>
      <c r="AE989" s="37"/>
      <c r="AF989" s="37"/>
      <c r="AG989" s="37"/>
    </row>
    <row r="990" spans="1:33" ht="14.25" customHeight="1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  <c r="AB990" s="37"/>
      <c r="AC990" s="37"/>
      <c r="AD990" s="37"/>
      <c r="AE990" s="37"/>
      <c r="AF990" s="37"/>
      <c r="AG990" s="37"/>
    </row>
    <row r="991" spans="1:33" ht="14.25" customHeight="1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  <c r="AB991" s="37"/>
      <c r="AC991" s="37"/>
      <c r="AD991" s="37"/>
      <c r="AE991" s="37"/>
      <c r="AF991" s="37"/>
      <c r="AG991" s="37"/>
    </row>
    <row r="992" spans="1:33" ht="14.25" customHeight="1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  <c r="AB992" s="37"/>
      <c r="AC992" s="37"/>
      <c r="AD992" s="37"/>
      <c r="AE992" s="37"/>
      <c r="AF992" s="37"/>
      <c r="AG992" s="37"/>
    </row>
    <row r="993" spans="1:33" ht="14.25" customHeight="1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  <c r="AB993" s="37"/>
      <c r="AC993" s="37"/>
      <c r="AD993" s="37"/>
      <c r="AE993" s="37"/>
      <c r="AF993" s="37"/>
      <c r="AG993" s="37"/>
    </row>
    <row r="994" spans="1:33" ht="14.25" customHeight="1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37"/>
      <c r="AB994" s="37"/>
      <c r="AC994" s="37"/>
      <c r="AD994" s="37"/>
      <c r="AE994" s="37"/>
      <c r="AF994" s="37"/>
      <c r="AG994" s="37"/>
    </row>
    <row r="995" spans="1:33" ht="14.25" customHeight="1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37"/>
      <c r="AB995" s="37"/>
      <c r="AC995" s="37"/>
      <c r="AD995" s="37"/>
      <c r="AE995" s="37"/>
      <c r="AF995" s="37"/>
      <c r="AG995" s="37"/>
    </row>
    <row r="996" spans="1:33" ht="14.25" customHeight="1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37"/>
      <c r="AB996" s="37"/>
      <c r="AC996" s="37"/>
      <c r="AD996" s="37"/>
      <c r="AE996" s="37"/>
      <c r="AF996" s="37"/>
      <c r="AG996" s="37"/>
    </row>
    <row r="997" spans="1:33" ht="14.25" customHeight="1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37"/>
      <c r="AB997" s="37"/>
      <c r="AC997" s="37"/>
      <c r="AD997" s="37"/>
      <c r="AE997" s="37"/>
      <c r="AF997" s="37"/>
      <c r="AG997" s="37"/>
    </row>
    <row r="998" spans="1:33" ht="14.25" customHeight="1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  <c r="AA998" s="37"/>
      <c r="AB998" s="37"/>
      <c r="AC998" s="37"/>
      <c r="AD998" s="37"/>
      <c r="AE998" s="37"/>
      <c r="AF998" s="37"/>
      <c r="AG998" s="37"/>
    </row>
    <row r="999" spans="1:33" ht="14.25" customHeight="1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  <c r="AA999" s="37"/>
      <c r="AB999" s="37"/>
      <c r="AC999" s="37"/>
      <c r="AD999" s="37"/>
      <c r="AE999" s="37"/>
      <c r="AF999" s="37"/>
      <c r="AG999" s="37"/>
    </row>
    <row r="1000" spans="1:33" ht="14.25" customHeight="1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  <c r="AA1000" s="37"/>
      <c r="AB1000" s="37"/>
      <c r="AC1000" s="37"/>
      <c r="AD1000" s="37"/>
      <c r="AE1000" s="37"/>
      <c r="AF1000" s="37"/>
      <c r="AG1000" s="37"/>
    </row>
    <row r="1001" spans="1:33" ht="14.25" customHeight="1">
      <c r="A1001" s="37"/>
      <c r="B1001" s="37"/>
      <c r="C1001" s="37"/>
      <c r="D1001" s="37"/>
      <c r="E1001" s="37"/>
      <c r="F1001" s="37"/>
      <c r="G1001" s="37"/>
      <c r="H1001" s="37"/>
      <c r="I1001" s="37"/>
      <c r="J1001" s="37"/>
      <c r="K1001" s="37"/>
      <c r="L1001" s="37"/>
      <c r="M1001" s="37"/>
      <c r="N1001" s="37"/>
      <c r="O1001" s="37"/>
      <c r="P1001" s="37"/>
      <c r="Q1001" s="37"/>
      <c r="R1001" s="37"/>
      <c r="S1001" s="37"/>
      <c r="T1001" s="37"/>
      <c r="U1001" s="37"/>
      <c r="V1001" s="37"/>
      <c r="W1001" s="37"/>
      <c r="X1001" s="37"/>
      <c r="Y1001" s="37"/>
      <c r="Z1001" s="37"/>
      <c r="AA1001" s="37"/>
      <c r="AB1001" s="37"/>
      <c r="AC1001" s="37"/>
      <c r="AD1001" s="37"/>
      <c r="AE1001" s="37"/>
      <c r="AF1001" s="37"/>
      <c r="AG1001" s="37"/>
    </row>
    <row r="1002" spans="1:33" ht="14.25" customHeight="1">
      <c r="A1002" s="37"/>
      <c r="B1002" s="37"/>
      <c r="C1002" s="37"/>
      <c r="D1002" s="37"/>
      <c r="E1002" s="37"/>
      <c r="F1002" s="37"/>
      <c r="G1002" s="37"/>
      <c r="H1002" s="37"/>
      <c r="I1002" s="37"/>
      <c r="J1002" s="37"/>
      <c r="K1002" s="37"/>
      <c r="L1002" s="37"/>
      <c r="M1002" s="37"/>
      <c r="N1002" s="37"/>
      <c r="O1002" s="37"/>
      <c r="P1002" s="37"/>
      <c r="Q1002" s="37"/>
      <c r="R1002" s="37"/>
      <c r="S1002" s="37"/>
      <c r="T1002" s="37"/>
      <c r="U1002" s="37"/>
      <c r="V1002" s="37"/>
      <c r="W1002" s="37"/>
      <c r="X1002" s="37"/>
      <c r="Y1002" s="37"/>
      <c r="Z1002" s="37"/>
      <c r="AA1002" s="37"/>
      <c r="AB1002" s="37"/>
      <c r="AC1002" s="37"/>
      <c r="AD1002" s="37"/>
      <c r="AE1002" s="37"/>
      <c r="AF1002" s="37"/>
      <c r="AG1002" s="37"/>
    </row>
    <row r="1003" spans="1:33" ht="14.25" customHeight="1">
      <c r="A1003" s="37"/>
      <c r="B1003" s="37"/>
      <c r="C1003" s="37"/>
      <c r="D1003" s="37"/>
      <c r="E1003" s="37"/>
      <c r="F1003" s="37"/>
      <c r="G1003" s="37"/>
      <c r="H1003" s="37"/>
      <c r="I1003" s="37"/>
      <c r="J1003" s="37"/>
      <c r="K1003" s="37"/>
      <c r="L1003" s="37"/>
      <c r="M1003" s="37"/>
      <c r="N1003" s="37"/>
      <c r="O1003" s="37"/>
      <c r="P1003" s="37"/>
      <c r="Q1003" s="37"/>
      <c r="R1003" s="37"/>
      <c r="S1003" s="37"/>
      <c r="T1003" s="37"/>
      <c r="U1003" s="37"/>
      <c r="V1003" s="37"/>
      <c r="W1003" s="37"/>
      <c r="X1003" s="37"/>
      <c r="Y1003" s="37"/>
      <c r="Z1003" s="37"/>
      <c r="AA1003" s="37"/>
      <c r="AB1003" s="37"/>
      <c r="AC1003" s="37"/>
      <c r="AD1003" s="37"/>
      <c r="AE1003" s="37"/>
      <c r="AF1003" s="37"/>
      <c r="AG1003" s="37"/>
    </row>
    <row r="1004" spans="1:33" ht="14.25" customHeight="1">
      <c r="A1004" s="37"/>
      <c r="B1004" s="37"/>
      <c r="C1004" s="37"/>
      <c r="D1004" s="37"/>
      <c r="E1004" s="37"/>
      <c r="F1004" s="37"/>
      <c r="G1004" s="37"/>
      <c r="H1004" s="37"/>
      <c r="I1004" s="37"/>
      <c r="J1004" s="37"/>
      <c r="K1004" s="37"/>
      <c r="L1004" s="37"/>
      <c r="M1004" s="37"/>
      <c r="N1004" s="37"/>
      <c r="O1004" s="37"/>
      <c r="P1004" s="37"/>
      <c r="Q1004" s="37"/>
      <c r="R1004" s="37"/>
      <c r="S1004" s="37"/>
      <c r="T1004" s="37"/>
      <c r="U1004" s="37"/>
      <c r="V1004" s="37"/>
      <c r="W1004" s="37"/>
      <c r="X1004" s="37"/>
      <c r="Y1004" s="37"/>
      <c r="Z1004" s="37"/>
      <c r="AA1004" s="37"/>
      <c r="AB1004" s="37"/>
      <c r="AC1004" s="37"/>
      <c r="AD1004" s="37"/>
      <c r="AE1004" s="37"/>
      <c r="AF1004" s="37"/>
      <c r="AG1004" s="37"/>
    </row>
    <row r="1005" spans="1:33" ht="14.25" customHeight="1">
      <c r="A1005" s="37"/>
      <c r="B1005" s="37"/>
      <c r="C1005" s="37"/>
      <c r="D1005" s="37"/>
      <c r="E1005" s="37"/>
      <c r="F1005" s="37"/>
      <c r="G1005" s="37"/>
      <c r="H1005" s="37"/>
      <c r="I1005" s="37"/>
      <c r="J1005" s="37"/>
      <c r="K1005" s="37"/>
      <c r="L1005" s="37"/>
      <c r="M1005" s="37"/>
      <c r="N1005" s="37"/>
      <c r="O1005" s="37"/>
      <c r="P1005" s="37"/>
      <c r="Q1005" s="37"/>
      <c r="R1005" s="37"/>
      <c r="S1005" s="37"/>
      <c r="T1005" s="37"/>
      <c r="U1005" s="37"/>
      <c r="V1005" s="37"/>
      <c r="W1005" s="37"/>
      <c r="X1005" s="37"/>
      <c r="Y1005" s="37"/>
      <c r="Z1005" s="37"/>
      <c r="AA1005" s="37"/>
      <c r="AB1005" s="37"/>
      <c r="AC1005" s="37"/>
      <c r="AD1005" s="37"/>
      <c r="AE1005" s="37"/>
      <c r="AF1005" s="37"/>
      <c r="AG1005" s="37"/>
    </row>
    <row r="1006" spans="1:33" ht="14.25" customHeight="1">
      <c r="A1006" s="37"/>
      <c r="B1006" s="37"/>
      <c r="C1006" s="37"/>
      <c r="D1006" s="37"/>
      <c r="E1006" s="37"/>
      <c r="F1006" s="37"/>
      <c r="G1006" s="37"/>
      <c r="H1006" s="37"/>
      <c r="I1006" s="37"/>
      <c r="J1006" s="37"/>
      <c r="K1006" s="37"/>
      <c r="L1006" s="37"/>
      <c r="M1006" s="37"/>
      <c r="N1006" s="37"/>
      <c r="O1006" s="37"/>
      <c r="P1006" s="37"/>
      <c r="Q1006" s="37"/>
      <c r="R1006" s="37"/>
      <c r="S1006" s="37"/>
      <c r="T1006" s="37"/>
      <c r="U1006" s="37"/>
      <c r="V1006" s="37"/>
      <c r="W1006" s="37"/>
      <c r="X1006" s="37"/>
      <c r="Y1006" s="37"/>
      <c r="Z1006" s="37"/>
      <c r="AA1006" s="37"/>
      <c r="AB1006" s="37"/>
      <c r="AC1006" s="37"/>
      <c r="AD1006" s="37"/>
      <c r="AE1006" s="37"/>
      <c r="AF1006" s="37"/>
      <c r="AG1006" s="37"/>
    </row>
    <row r="1007" spans="1:33" ht="14.25" customHeight="1">
      <c r="A1007" s="37"/>
      <c r="B1007" s="37"/>
      <c r="C1007" s="37"/>
      <c r="D1007" s="37"/>
      <c r="E1007" s="37"/>
      <c r="F1007" s="37"/>
      <c r="G1007" s="37"/>
      <c r="H1007" s="37"/>
      <c r="I1007" s="37"/>
      <c r="J1007" s="37"/>
      <c r="K1007" s="37"/>
      <c r="L1007" s="37"/>
      <c r="M1007" s="37"/>
      <c r="N1007" s="37"/>
      <c r="O1007" s="37"/>
      <c r="P1007" s="37"/>
      <c r="Q1007" s="37"/>
      <c r="R1007" s="37"/>
      <c r="S1007" s="37"/>
      <c r="T1007" s="37"/>
      <c r="U1007" s="37"/>
      <c r="V1007" s="37"/>
      <c r="W1007" s="37"/>
      <c r="X1007" s="37"/>
      <c r="Y1007" s="37"/>
      <c r="Z1007" s="37"/>
      <c r="AA1007" s="37"/>
      <c r="AB1007" s="37"/>
      <c r="AC1007" s="37"/>
      <c r="AD1007" s="37"/>
      <c r="AE1007" s="37"/>
      <c r="AF1007" s="37"/>
      <c r="AG1007" s="37"/>
    </row>
    <row r="1008" spans="1:33" ht="14.25" customHeight="1">
      <c r="A1008" s="37"/>
      <c r="B1008" s="37"/>
      <c r="C1008" s="37"/>
      <c r="D1008" s="37"/>
      <c r="E1008" s="37"/>
      <c r="F1008" s="37"/>
      <c r="G1008" s="37"/>
      <c r="H1008" s="37"/>
      <c r="I1008" s="37"/>
      <c r="J1008" s="37"/>
      <c r="K1008" s="37"/>
      <c r="L1008" s="37"/>
      <c r="M1008" s="37"/>
      <c r="N1008" s="37"/>
      <c r="O1008" s="37"/>
      <c r="P1008" s="37"/>
      <c r="Q1008" s="37"/>
      <c r="R1008" s="37"/>
      <c r="S1008" s="37"/>
      <c r="T1008" s="37"/>
      <c r="U1008" s="37"/>
      <c r="V1008" s="37"/>
      <c r="W1008" s="37"/>
      <c r="X1008" s="37"/>
      <c r="Y1008" s="37"/>
      <c r="Z1008" s="37"/>
      <c r="AA1008" s="37"/>
      <c r="AB1008" s="37"/>
      <c r="AC1008" s="37"/>
      <c r="AD1008" s="37"/>
      <c r="AE1008" s="37"/>
      <c r="AF1008" s="37"/>
      <c r="AG1008" s="37"/>
    </row>
    <row r="1009" spans="1:33" ht="14.25" customHeight="1">
      <c r="A1009" s="37"/>
      <c r="B1009" s="37"/>
      <c r="C1009" s="37"/>
      <c r="D1009" s="37"/>
      <c r="E1009" s="37"/>
      <c r="F1009" s="37"/>
      <c r="G1009" s="37"/>
      <c r="H1009" s="37"/>
      <c r="I1009" s="37"/>
      <c r="J1009" s="37"/>
      <c r="K1009" s="37"/>
      <c r="L1009" s="37"/>
      <c r="M1009" s="37"/>
      <c r="N1009" s="37"/>
      <c r="O1009" s="37"/>
      <c r="P1009" s="37"/>
      <c r="Q1009" s="37"/>
      <c r="R1009" s="37"/>
      <c r="S1009" s="37"/>
      <c r="T1009" s="37"/>
      <c r="U1009" s="37"/>
      <c r="V1009" s="37"/>
      <c r="W1009" s="37"/>
      <c r="X1009" s="37"/>
      <c r="Y1009" s="37"/>
      <c r="Z1009" s="37"/>
      <c r="AA1009" s="37"/>
      <c r="AB1009" s="37"/>
      <c r="AC1009" s="37"/>
      <c r="AD1009" s="37"/>
      <c r="AE1009" s="37"/>
      <c r="AF1009" s="37"/>
      <c r="AG1009" s="37"/>
    </row>
    <row r="1010" spans="1:33" ht="14.25" customHeight="1">
      <c r="A1010" s="37"/>
      <c r="B1010" s="37"/>
      <c r="C1010" s="37"/>
      <c r="D1010" s="37"/>
      <c r="E1010" s="37"/>
      <c r="F1010" s="37"/>
      <c r="G1010" s="37"/>
      <c r="H1010" s="37"/>
      <c r="I1010" s="37"/>
      <c r="J1010" s="37"/>
      <c r="K1010" s="37"/>
      <c r="L1010" s="37"/>
      <c r="M1010" s="37"/>
      <c r="N1010" s="37"/>
      <c r="O1010" s="37"/>
      <c r="P1010" s="37"/>
      <c r="Q1010" s="37"/>
      <c r="R1010" s="37"/>
      <c r="S1010" s="37"/>
      <c r="T1010" s="37"/>
      <c r="U1010" s="37"/>
      <c r="V1010" s="37"/>
      <c r="W1010" s="37"/>
      <c r="X1010" s="37"/>
      <c r="Y1010" s="37"/>
      <c r="Z1010" s="37"/>
      <c r="AA1010" s="37"/>
      <c r="AB1010" s="37"/>
      <c r="AC1010" s="37"/>
      <c r="AD1010" s="37"/>
      <c r="AE1010" s="37"/>
      <c r="AF1010" s="37"/>
      <c r="AG1010" s="37"/>
    </row>
  </sheetData>
  <mergeCells count="1">
    <mergeCell ref="E1:K1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G1010"/>
  <sheetViews>
    <sheetView workbookViewId="0"/>
  </sheetViews>
  <sheetFormatPr defaultColWidth="14.453125" defaultRowHeight="15" customHeight="1"/>
  <cols>
    <col min="2" max="2" width="11.08984375" customWidth="1"/>
    <col min="3" max="4" width="21.08984375" customWidth="1"/>
    <col min="5" max="5" width="40.453125" customWidth="1"/>
    <col min="6" max="6" width="8.54296875" customWidth="1"/>
    <col min="7" max="7" width="7.54296875" customWidth="1"/>
    <col min="8" max="8" width="48.54296875" customWidth="1"/>
    <col min="9" max="9" width="5.81640625" customWidth="1"/>
    <col min="10" max="10" width="6.26953125" customWidth="1"/>
    <col min="11" max="11" width="38.54296875" customWidth="1"/>
    <col min="12" max="12" width="6" customWidth="1"/>
    <col min="13" max="13" width="6.26953125" customWidth="1"/>
    <col min="14" max="14" width="28" customWidth="1"/>
  </cols>
  <sheetData>
    <row r="1" spans="1:33">
      <c r="A1" s="1" t="s">
        <v>37</v>
      </c>
      <c r="B1" s="1" t="s">
        <v>38</v>
      </c>
      <c r="C1" s="1" t="s">
        <v>39</v>
      </c>
      <c r="D1" s="1" t="s">
        <v>40</v>
      </c>
      <c r="E1" s="49" t="s">
        <v>41</v>
      </c>
      <c r="F1" s="46"/>
      <c r="G1" s="46"/>
      <c r="H1" s="46"/>
      <c r="I1" s="46"/>
      <c r="J1" s="46"/>
      <c r="K1" s="46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</row>
    <row r="2" spans="1:33">
      <c r="A2" s="29"/>
      <c r="B2" s="29"/>
      <c r="C2" s="29"/>
      <c r="D2" s="29"/>
      <c r="E2" s="31" t="s">
        <v>42</v>
      </c>
      <c r="F2" s="2" t="s">
        <v>383</v>
      </c>
      <c r="G2" s="2" t="s">
        <v>44</v>
      </c>
      <c r="H2" s="2" t="s">
        <v>6</v>
      </c>
      <c r="I2" s="2"/>
      <c r="J2" s="2"/>
      <c r="K2" s="2" t="s">
        <v>45</v>
      </c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</row>
    <row r="3" spans="1:33">
      <c r="A3" s="29" t="s">
        <v>443</v>
      </c>
      <c r="B3" s="29" t="s">
        <v>47</v>
      </c>
      <c r="C3" s="29" t="s">
        <v>3</v>
      </c>
      <c r="D3" s="29" t="s">
        <v>419</v>
      </c>
      <c r="E3" s="29" t="s">
        <v>444</v>
      </c>
      <c r="F3" s="29">
        <v>10</v>
      </c>
      <c r="G3" s="29">
        <v>9.1300000000000008</v>
      </c>
      <c r="H3" s="29">
        <v>9</v>
      </c>
      <c r="I3" s="29"/>
      <c r="J3" s="29"/>
      <c r="K3" s="29" t="s">
        <v>445</v>
      </c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</row>
    <row r="4" spans="1:33">
      <c r="A4" s="29"/>
      <c r="B4" s="29"/>
      <c r="C4" s="29"/>
      <c r="D4" s="29"/>
      <c r="E4" s="2"/>
      <c r="F4" s="2"/>
      <c r="G4" s="2"/>
      <c r="H4" s="2"/>
      <c r="I4" s="2"/>
      <c r="J4" s="2"/>
      <c r="K4" s="2"/>
      <c r="L4" s="2"/>
      <c r="M4" s="2"/>
      <c r="N4" s="2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</row>
    <row r="5" spans="1:33">
      <c r="A5" s="29"/>
      <c r="B5" s="29"/>
      <c r="C5" s="29"/>
      <c r="D5" s="29"/>
      <c r="E5" s="2" t="s">
        <v>56</v>
      </c>
      <c r="F5" s="2" t="s">
        <v>57</v>
      </c>
      <c r="G5" s="2" t="s">
        <v>58</v>
      </c>
      <c r="H5" s="2" t="s">
        <v>59</v>
      </c>
      <c r="I5" s="2" t="s">
        <v>57</v>
      </c>
      <c r="J5" s="2" t="s">
        <v>58</v>
      </c>
      <c r="K5" s="2" t="s">
        <v>60</v>
      </c>
      <c r="L5" s="2" t="s">
        <v>172</v>
      </c>
      <c r="M5" s="2" t="s">
        <v>383</v>
      </c>
      <c r="N5" s="2" t="s">
        <v>45</v>
      </c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</row>
    <row r="6" spans="1:33">
      <c r="A6" s="29" t="s">
        <v>446</v>
      </c>
      <c r="B6" s="29" t="s">
        <v>62</v>
      </c>
      <c r="C6" s="29" t="s">
        <v>63</v>
      </c>
      <c r="D6" s="29" t="s">
        <v>75</v>
      </c>
      <c r="E6" s="29" t="s">
        <v>447</v>
      </c>
      <c r="F6" s="29">
        <v>57</v>
      </c>
      <c r="G6" s="29">
        <v>0.53</v>
      </c>
      <c r="H6" s="29" t="s">
        <v>448</v>
      </c>
      <c r="I6" s="29">
        <v>11</v>
      </c>
      <c r="J6" s="29">
        <v>0.32</v>
      </c>
      <c r="K6" s="29" t="s">
        <v>449</v>
      </c>
      <c r="L6" s="29">
        <v>19</v>
      </c>
      <c r="M6" s="29">
        <v>10</v>
      </c>
      <c r="N6" s="29">
        <v>61</v>
      </c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</row>
    <row r="7" spans="1:33">
      <c r="A7" s="29" t="s">
        <v>450</v>
      </c>
      <c r="B7" s="29" t="s">
        <v>69</v>
      </c>
      <c r="C7" s="29" t="s">
        <v>63</v>
      </c>
      <c r="D7" s="29" t="s">
        <v>451</v>
      </c>
      <c r="E7" s="29" t="s">
        <v>452</v>
      </c>
      <c r="F7" s="29">
        <v>75</v>
      </c>
      <c r="G7" s="29">
        <v>0.52</v>
      </c>
      <c r="H7" s="29" t="s">
        <v>453</v>
      </c>
      <c r="I7" s="29">
        <v>11</v>
      </c>
      <c r="J7" s="29">
        <v>0.2</v>
      </c>
      <c r="K7" s="29" t="s">
        <v>454</v>
      </c>
      <c r="L7" s="29">
        <v>10</v>
      </c>
      <c r="M7" s="29">
        <v>4</v>
      </c>
      <c r="N7" s="29">
        <v>35</v>
      </c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</row>
    <row r="8" spans="1:33">
      <c r="A8" s="29" t="s">
        <v>455</v>
      </c>
      <c r="B8" s="29" t="s">
        <v>69</v>
      </c>
      <c r="C8" s="29" t="s">
        <v>63</v>
      </c>
      <c r="D8" s="29" t="s">
        <v>456</v>
      </c>
      <c r="E8" s="29" t="s">
        <v>457</v>
      </c>
      <c r="F8" s="29">
        <v>35</v>
      </c>
      <c r="G8" s="29">
        <v>0.56999999999999995</v>
      </c>
      <c r="H8" s="29" t="s">
        <v>458</v>
      </c>
      <c r="I8" s="29">
        <v>1</v>
      </c>
      <c r="J8" s="29">
        <v>0.17</v>
      </c>
      <c r="K8" s="29" t="s">
        <v>459</v>
      </c>
      <c r="L8" s="29">
        <v>4</v>
      </c>
      <c r="M8" s="29">
        <v>4</v>
      </c>
      <c r="N8" s="29">
        <v>19</v>
      </c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</row>
    <row r="9" spans="1:33">
      <c r="A9" s="29" t="s">
        <v>460</v>
      </c>
      <c r="B9" s="29" t="s">
        <v>69</v>
      </c>
      <c r="C9" s="29" t="s">
        <v>63</v>
      </c>
      <c r="D9" s="29" t="s">
        <v>461</v>
      </c>
      <c r="E9" s="29" t="s">
        <v>462</v>
      </c>
      <c r="F9" s="29">
        <v>25</v>
      </c>
      <c r="G9" s="29">
        <v>0.45</v>
      </c>
      <c r="H9" s="29" t="s">
        <v>463</v>
      </c>
      <c r="I9" s="29">
        <v>1</v>
      </c>
      <c r="J9" s="29">
        <v>0.06</v>
      </c>
      <c r="K9" s="29" t="s">
        <v>464</v>
      </c>
      <c r="L9" s="29">
        <v>9</v>
      </c>
      <c r="M9" s="29">
        <v>1</v>
      </c>
      <c r="N9" s="29">
        <v>35</v>
      </c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</row>
    <row r="10" spans="1:33">
      <c r="A10" s="29"/>
      <c r="B10" s="29"/>
      <c r="C10" s="29"/>
      <c r="D10" s="29"/>
      <c r="E10" s="2">
        <f>AVERAGE(N12:N16)</f>
        <v>4.8</v>
      </c>
      <c r="F10" s="2"/>
      <c r="G10" s="2"/>
      <c r="H10" s="2"/>
      <c r="I10" s="2"/>
      <c r="J10" s="2"/>
      <c r="K10" s="2"/>
      <c r="L10" s="2"/>
      <c r="M10" s="2"/>
      <c r="N10" s="2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</row>
    <row r="11" spans="1:33">
      <c r="A11" s="29"/>
      <c r="B11" s="29"/>
      <c r="C11" s="29"/>
      <c r="D11" s="29"/>
      <c r="E11" s="2" t="s">
        <v>94</v>
      </c>
      <c r="F11" s="2" t="s">
        <v>57</v>
      </c>
      <c r="G11" s="2" t="s">
        <v>58</v>
      </c>
      <c r="H11" s="2" t="s">
        <v>95</v>
      </c>
      <c r="I11" s="2" t="s">
        <v>57</v>
      </c>
      <c r="J11" s="2" t="s">
        <v>58</v>
      </c>
      <c r="K11" s="2" t="s">
        <v>96</v>
      </c>
      <c r="L11" s="2" t="s">
        <v>341</v>
      </c>
      <c r="M11" s="2" t="s">
        <v>342</v>
      </c>
      <c r="N11" s="2" t="s">
        <v>31</v>
      </c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</row>
    <row r="12" spans="1:33">
      <c r="A12" s="29" t="s">
        <v>465</v>
      </c>
      <c r="B12" s="29" t="s">
        <v>113</v>
      </c>
      <c r="C12" s="29" t="s">
        <v>101</v>
      </c>
      <c r="D12" s="29" t="s">
        <v>466</v>
      </c>
      <c r="E12" s="29" t="s">
        <v>467</v>
      </c>
      <c r="F12" s="29">
        <v>836</v>
      </c>
      <c r="G12" s="29">
        <v>0.85</v>
      </c>
      <c r="H12" s="29" t="s">
        <v>468</v>
      </c>
      <c r="I12" s="29">
        <v>110</v>
      </c>
      <c r="J12" s="29">
        <v>0.73</v>
      </c>
      <c r="K12" s="29" t="s">
        <v>469</v>
      </c>
      <c r="L12" s="29">
        <v>124</v>
      </c>
      <c r="M12" s="29">
        <v>64</v>
      </c>
      <c r="N12" s="29">
        <v>11</v>
      </c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</row>
    <row r="13" spans="1:33">
      <c r="A13" s="29" t="s">
        <v>470</v>
      </c>
      <c r="B13" s="29" t="s">
        <v>214</v>
      </c>
      <c r="C13" s="29" t="s">
        <v>357</v>
      </c>
      <c r="D13" s="29" t="s">
        <v>344</v>
      </c>
      <c r="E13" s="29" t="s">
        <v>471</v>
      </c>
      <c r="F13" s="29">
        <v>715</v>
      </c>
      <c r="G13" s="29">
        <v>0.78</v>
      </c>
      <c r="H13" s="29" t="s">
        <v>472</v>
      </c>
      <c r="I13" s="29">
        <v>92</v>
      </c>
      <c r="J13" s="29">
        <v>0.66</v>
      </c>
      <c r="K13" s="29" t="s">
        <v>473</v>
      </c>
      <c r="L13" s="29">
        <v>102</v>
      </c>
      <c r="M13" s="29">
        <v>60</v>
      </c>
      <c r="N13" s="29">
        <v>5</v>
      </c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</row>
    <row r="14" spans="1:33">
      <c r="A14" s="29" t="s">
        <v>474</v>
      </c>
      <c r="B14" s="29" t="s">
        <v>107</v>
      </c>
      <c r="C14" s="29" t="s">
        <v>101</v>
      </c>
      <c r="D14" s="29" t="s">
        <v>102</v>
      </c>
      <c r="E14" s="29" t="s">
        <v>475</v>
      </c>
      <c r="F14" s="29">
        <v>832</v>
      </c>
      <c r="G14" s="29">
        <v>0.89</v>
      </c>
      <c r="H14" s="29" t="s">
        <v>476</v>
      </c>
      <c r="I14" s="29">
        <v>78</v>
      </c>
      <c r="J14" s="29">
        <v>0.78</v>
      </c>
      <c r="K14" s="29" t="s">
        <v>477</v>
      </c>
      <c r="L14" s="29">
        <v>106</v>
      </c>
      <c r="M14" s="29">
        <v>71</v>
      </c>
      <c r="N14" s="29">
        <v>4</v>
      </c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</row>
    <row r="15" spans="1:33">
      <c r="A15" s="29" t="s">
        <v>478</v>
      </c>
      <c r="B15" s="29" t="s">
        <v>214</v>
      </c>
      <c r="C15" s="29" t="s">
        <v>357</v>
      </c>
      <c r="D15" s="29" t="s">
        <v>278</v>
      </c>
      <c r="E15" s="29" t="s">
        <v>479</v>
      </c>
      <c r="F15" s="29">
        <v>753</v>
      </c>
      <c r="G15" s="29">
        <v>0.86</v>
      </c>
      <c r="H15" s="29" t="s">
        <v>480</v>
      </c>
      <c r="I15" s="29">
        <v>72</v>
      </c>
      <c r="J15" s="29">
        <v>0.61</v>
      </c>
      <c r="K15" s="29" t="s">
        <v>481</v>
      </c>
      <c r="L15" s="29">
        <v>91</v>
      </c>
      <c r="M15" s="29">
        <v>42</v>
      </c>
      <c r="N15" s="29">
        <v>2</v>
      </c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</row>
    <row r="16" spans="1:33">
      <c r="A16" s="29" t="s">
        <v>482</v>
      </c>
      <c r="B16" s="29" t="s">
        <v>214</v>
      </c>
      <c r="C16" s="29" t="s">
        <v>357</v>
      </c>
      <c r="D16" s="29" t="s">
        <v>54</v>
      </c>
      <c r="E16" s="29" t="s">
        <v>483</v>
      </c>
      <c r="F16" s="29">
        <v>227</v>
      </c>
      <c r="G16" s="29">
        <v>0.83</v>
      </c>
      <c r="H16" s="29" t="s">
        <v>484</v>
      </c>
      <c r="I16" s="29">
        <v>35</v>
      </c>
      <c r="J16" s="29">
        <v>0.6</v>
      </c>
      <c r="K16" s="29" t="s">
        <v>485</v>
      </c>
      <c r="L16" s="29">
        <v>27</v>
      </c>
      <c r="M16" s="29">
        <v>13</v>
      </c>
      <c r="N16" s="29">
        <v>2</v>
      </c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</row>
    <row r="17" spans="1:33">
      <c r="A17" s="29"/>
      <c r="B17" s="29"/>
      <c r="C17" s="29"/>
      <c r="D17" s="29"/>
      <c r="E17" s="2" t="s">
        <v>118</v>
      </c>
      <c r="F17" s="2" t="s">
        <v>44</v>
      </c>
      <c r="G17" s="2" t="s">
        <v>119</v>
      </c>
      <c r="H17" s="2" t="s">
        <v>35</v>
      </c>
      <c r="I17" s="2"/>
      <c r="J17" s="2"/>
      <c r="K17" s="2" t="s">
        <v>120</v>
      </c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</row>
    <row r="18" spans="1:33">
      <c r="A18" s="29" t="s">
        <v>486</v>
      </c>
      <c r="B18" s="29" t="s">
        <v>122</v>
      </c>
      <c r="C18" s="29" t="s">
        <v>123</v>
      </c>
      <c r="D18" s="29" t="s">
        <v>102</v>
      </c>
      <c r="E18" s="29" t="s">
        <v>487</v>
      </c>
      <c r="F18" s="29">
        <v>23.41</v>
      </c>
      <c r="G18" s="29">
        <v>15</v>
      </c>
      <c r="H18" s="29">
        <v>0.68</v>
      </c>
      <c r="I18" s="29"/>
      <c r="J18" s="29"/>
      <c r="K18" s="40">
        <v>0.85</v>
      </c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</row>
    <row r="19" spans="1:33">
      <c r="A19" s="29"/>
      <c r="B19" s="29"/>
      <c r="C19" s="29"/>
      <c r="D19" s="29"/>
      <c r="E19" s="31"/>
      <c r="F19" s="31"/>
      <c r="G19" s="31"/>
      <c r="H19" s="31"/>
      <c r="I19" s="31"/>
      <c r="J19" s="31"/>
      <c r="K19" s="31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</row>
    <row r="20" spans="1:33">
      <c r="A20" s="29"/>
      <c r="B20" s="29"/>
      <c r="C20" s="29"/>
      <c r="D20" s="29"/>
      <c r="E20" s="31" t="s">
        <v>125</v>
      </c>
      <c r="F20" s="32" t="s">
        <v>57</v>
      </c>
      <c r="G20" s="32" t="s">
        <v>58</v>
      </c>
      <c r="H20" s="31" t="s">
        <v>126</v>
      </c>
      <c r="I20" s="32" t="s">
        <v>57</v>
      </c>
      <c r="J20" s="32" t="s">
        <v>58</v>
      </c>
      <c r="K20" s="31" t="s">
        <v>127</v>
      </c>
      <c r="L20" s="29" t="s">
        <v>128</v>
      </c>
      <c r="M20" s="29" t="s">
        <v>58</v>
      </c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</row>
    <row r="21" spans="1:33">
      <c r="A21" s="29" t="s">
        <v>488</v>
      </c>
      <c r="B21" s="29" t="s">
        <v>137</v>
      </c>
      <c r="C21" s="29" t="s">
        <v>431</v>
      </c>
      <c r="D21" s="29" t="s">
        <v>132</v>
      </c>
      <c r="E21" s="29" t="s">
        <v>489</v>
      </c>
      <c r="F21" s="29">
        <v>564</v>
      </c>
      <c r="G21" s="29">
        <v>0.75</v>
      </c>
      <c r="H21" s="29" t="s">
        <v>490</v>
      </c>
      <c r="I21" s="29">
        <v>34</v>
      </c>
      <c r="J21" s="29">
        <v>0.43</v>
      </c>
      <c r="K21" s="29" t="s">
        <v>491</v>
      </c>
      <c r="L21" s="29">
        <v>64</v>
      </c>
      <c r="M21" s="29">
        <v>0.56000000000000005</v>
      </c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</row>
    <row r="22" spans="1:33">
      <c r="A22" s="29" t="s">
        <v>492</v>
      </c>
      <c r="B22" s="29" t="s">
        <v>493</v>
      </c>
      <c r="C22" s="29" t="s">
        <v>431</v>
      </c>
      <c r="D22" s="29" t="s">
        <v>358</v>
      </c>
      <c r="E22" s="29" t="s">
        <v>494</v>
      </c>
      <c r="F22" s="29">
        <v>931</v>
      </c>
      <c r="G22" s="29">
        <v>0.88</v>
      </c>
      <c r="H22" s="29" t="s">
        <v>495</v>
      </c>
      <c r="I22" s="29">
        <v>42</v>
      </c>
      <c r="J22" s="29">
        <v>0.47</v>
      </c>
      <c r="K22" s="29" t="s">
        <v>496</v>
      </c>
      <c r="L22" s="29">
        <v>97</v>
      </c>
      <c r="M22" s="29">
        <v>0.79</v>
      </c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</row>
    <row r="23" spans="1:33">
      <c r="A23" s="29" t="s">
        <v>497</v>
      </c>
      <c r="B23" s="29" t="s">
        <v>235</v>
      </c>
      <c r="C23" s="29" t="s">
        <v>431</v>
      </c>
      <c r="D23" s="29" t="s">
        <v>209</v>
      </c>
      <c r="E23" s="29" t="s">
        <v>498</v>
      </c>
      <c r="F23" s="29">
        <v>513</v>
      </c>
      <c r="G23" s="29">
        <v>0.74</v>
      </c>
      <c r="H23" s="29" t="s">
        <v>499</v>
      </c>
      <c r="I23" s="29">
        <v>22</v>
      </c>
      <c r="J23" s="29">
        <v>0.5</v>
      </c>
      <c r="K23" s="29" t="s">
        <v>500</v>
      </c>
      <c r="L23" s="29">
        <v>92</v>
      </c>
      <c r="M23" s="29">
        <v>0.76</v>
      </c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</row>
    <row r="24" spans="1:33">
      <c r="A24" s="29" t="s">
        <v>501</v>
      </c>
      <c r="B24" s="29" t="s">
        <v>235</v>
      </c>
      <c r="C24" s="29" t="s">
        <v>431</v>
      </c>
      <c r="D24" s="29" t="s">
        <v>250</v>
      </c>
      <c r="E24" s="29" t="s">
        <v>502</v>
      </c>
      <c r="F24" s="29">
        <v>242</v>
      </c>
      <c r="G24" s="29">
        <v>0.82</v>
      </c>
      <c r="H24" s="29" t="s">
        <v>503</v>
      </c>
      <c r="I24" s="29">
        <v>5</v>
      </c>
      <c r="J24" s="29">
        <v>0.26</v>
      </c>
      <c r="K24" s="29" t="s">
        <v>504</v>
      </c>
      <c r="L24" s="29">
        <v>35</v>
      </c>
      <c r="M24" s="29">
        <v>0.67</v>
      </c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</row>
    <row r="25" spans="1:33">
      <c r="A25" s="2"/>
      <c r="B25" s="2"/>
      <c r="C25" s="2"/>
      <c r="D25" s="2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</row>
    <row r="26" spans="1:33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</row>
    <row r="27" spans="1:33">
      <c r="A27" s="29"/>
      <c r="B27" s="29"/>
      <c r="C27" s="29">
        <f>COUNTIF($C$2:$C$26,"Center Back")</f>
        <v>2</v>
      </c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</row>
    <row r="28" spans="1:33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</row>
    <row r="29" spans="1:33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</row>
    <row r="30" spans="1:33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</row>
    <row r="31" spans="1:33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</row>
    <row r="32" spans="1:33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</row>
    <row r="33" spans="1:33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</row>
    <row r="34" spans="1:33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</row>
    <row r="35" spans="1:33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</row>
    <row r="36" spans="1:33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</row>
    <row r="37" spans="1:33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</row>
    <row r="38" spans="1:33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</row>
    <row r="39" spans="1:33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</row>
    <row r="40" spans="1:33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</row>
    <row r="41" spans="1:33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</row>
    <row r="42" spans="1:33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</row>
    <row r="43" spans="1:33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</row>
    <row r="44" spans="1:33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</row>
    <row r="45" spans="1:33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</row>
    <row r="46" spans="1:33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</row>
    <row r="47" spans="1:33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</row>
    <row r="48" spans="1:33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</row>
    <row r="49" spans="1:33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</row>
    <row r="50" spans="1:33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</row>
    <row r="51" spans="1:33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</row>
    <row r="52" spans="1:33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</row>
    <row r="53" spans="1:33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</row>
    <row r="54" spans="1:33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</row>
    <row r="55" spans="1:33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</row>
    <row r="56" spans="1:33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</row>
    <row r="57" spans="1:33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</row>
    <row r="58" spans="1:33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</row>
    <row r="59" spans="1:33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</row>
    <row r="60" spans="1:33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</row>
    <row r="61" spans="1:33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</row>
    <row r="62" spans="1:33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</row>
    <row r="63" spans="1:33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</row>
    <row r="64" spans="1:33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</row>
    <row r="65" spans="1:33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</row>
    <row r="66" spans="1:33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</row>
    <row r="67" spans="1:33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</row>
    <row r="68" spans="1:33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</row>
    <row r="69" spans="1:33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</row>
    <row r="70" spans="1:33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</row>
    <row r="71" spans="1:33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</row>
    <row r="72" spans="1:33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</row>
    <row r="73" spans="1:33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</row>
    <row r="74" spans="1:33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</row>
    <row r="75" spans="1:33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</row>
    <row r="76" spans="1:33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</row>
    <row r="77" spans="1:33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</row>
    <row r="78" spans="1:33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</row>
    <row r="79" spans="1:33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</row>
    <row r="80" spans="1:33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</row>
    <row r="81" spans="1:33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</row>
    <row r="82" spans="1:33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</row>
    <row r="83" spans="1:3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</row>
    <row r="84" spans="1:33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</row>
    <row r="85" spans="1:33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</row>
    <row r="86" spans="1:33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</row>
    <row r="87" spans="1:33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</row>
    <row r="88" spans="1:33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</row>
    <row r="89" spans="1:33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</row>
    <row r="90" spans="1:33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</row>
    <row r="91" spans="1:33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</row>
    <row r="92" spans="1:33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</row>
    <row r="93" spans="1:3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</row>
    <row r="94" spans="1:33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</row>
    <row r="95" spans="1:33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</row>
    <row r="96" spans="1:33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</row>
    <row r="97" spans="1:33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</row>
    <row r="98" spans="1:33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</row>
    <row r="99" spans="1:33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</row>
    <row r="100" spans="1:33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</row>
    <row r="101" spans="1:33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</row>
    <row r="102" spans="1:33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</row>
    <row r="103" spans="1:3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</row>
    <row r="104" spans="1:33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</row>
    <row r="105" spans="1:33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</row>
    <row r="106" spans="1:33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</row>
    <row r="107" spans="1:33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</row>
    <row r="108" spans="1:33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</row>
    <row r="109" spans="1:33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</row>
    <row r="110" spans="1:33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</row>
    <row r="111" spans="1:33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</row>
    <row r="112" spans="1:33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</row>
    <row r="113" spans="1:3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</row>
    <row r="114" spans="1:33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</row>
    <row r="115" spans="1:33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</row>
    <row r="116" spans="1:33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</row>
    <row r="117" spans="1:33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</row>
    <row r="118" spans="1:33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</row>
    <row r="119" spans="1:33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</row>
    <row r="120" spans="1:33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</row>
    <row r="121" spans="1:33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</row>
    <row r="122" spans="1:33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</row>
    <row r="123" spans="1:3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</row>
    <row r="124" spans="1:33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</row>
    <row r="125" spans="1:33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</row>
    <row r="126" spans="1:33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</row>
    <row r="127" spans="1:33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</row>
    <row r="128" spans="1:33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</row>
    <row r="129" spans="1:33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</row>
    <row r="130" spans="1:33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</row>
    <row r="131" spans="1:33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</row>
    <row r="132" spans="1:33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</row>
    <row r="133" spans="1:3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</row>
    <row r="134" spans="1:33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</row>
    <row r="135" spans="1:33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</row>
    <row r="136" spans="1:33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</row>
    <row r="137" spans="1:33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</row>
    <row r="138" spans="1:33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</row>
    <row r="139" spans="1:33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</row>
    <row r="140" spans="1:33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</row>
    <row r="141" spans="1:33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</row>
    <row r="142" spans="1:33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</row>
    <row r="143" spans="1:3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</row>
    <row r="144" spans="1:33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</row>
    <row r="145" spans="1:33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</row>
    <row r="146" spans="1:33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</row>
    <row r="147" spans="1:33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</row>
    <row r="148" spans="1:33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</row>
    <row r="149" spans="1:33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</row>
    <row r="150" spans="1:33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</row>
    <row r="151" spans="1:33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</row>
    <row r="152" spans="1:33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</row>
    <row r="153" spans="1:3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</row>
    <row r="154" spans="1:33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</row>
    <row r="155" spans="1:33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</row>
    <row r="156" spans="1:33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</row>
    <row r="157" spans="1:33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</row>
    <row r="158" spans="1:33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</row>
    <row r="159" spans="1:33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</row>
    <row r="160" spans="1:33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</row>
    <row r="161" spans="1:33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</row>
    <row r="162" spans="1:33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</row>
    <row r="163" spans="1:3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</row>
    <row r="164" spans="1:33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</row>
    <row r="165" spans="1:33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</row>
    <row r="166" spans="1:33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</row>
    <row r="167" spans="1:33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</row>
    <row r="168" spans="1:33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</row>
    <row r="169" spans="1:33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</row>
    <row r="170" spans="1:33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</row>
    <row r="171" spans="1:33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</row>
    <row r="172" spans="1:33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</row>
    <row r="173" spans="1:3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</row>
    <row r="174" spans="1:33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</row>
    <row r="175" spans="1:33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</row>
    <row r="176" spans="1:33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</row>
    <row r="177" spans="1:33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</row>
    <row r="178" spans="1:33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</row>
    <row r="179" spans="1:33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</row>
    <row r="180" spans="1:33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</row>
    <row r="181" spans="1:33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</row>
    <row r="182" spans="1:33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</row>
    <row r="183" spans="1:3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</row>
    <row r="184" spans="1:33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</row>
    <row r="185" spans="1:33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</row>
    <row r="186" spans="1:33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</row>
    <row r="187" spans="1:33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</row>
    <row r="188" spans="1:33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</row>
    <row r="189" spans="1:33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</row>
    <row r="190" spans="1:33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</row>
    <row r="191" spans="1:33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</row>
    <row r="192" spans="1:33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</row>
    <row r="193" spans="1:3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</row>
    <row r="194" spans="1:33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</row>
    <row r="195" spans="1:33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</row>
    <row r="196" spans="1:33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</row>
    <row r="197" spans="1:33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</row>
    <row r="198" spans="1:33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</row>
    <row r="199" spans="1:33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</row>
    <row r="200" spans="1:33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</row>
    <row r="201" spans="1:33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</row>
    <row r="202" spans="1:33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</row>
    <row r="203" spans="1:3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</row>
    <row r="204" spans="1:33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</row>
    <row r="205" spans="1:33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</row>
    <row r="206" spans="1:33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</row>
    <row r="207" spans="1:33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</row>
    <row r="208" spans="1:33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</row>
    <row r="209" spans="1:33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</row>
    <row r="210" spans="1:33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</row>
    <row r="211" spans="1:33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</row>
    <row r="212" spans="1:33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</row>
    <row r="213" spans="1:3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</row>
    <row r="214" spans="1:33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</row>
    <row r="215" spans="1:33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</row>
    <row r="216" spans="1:33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</row>
    <row r="217" spans="1:33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</row>
    <row r="218" spans="1:33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</row>
    <row r="219" spans="1:33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</row>
    <row r="220" spans="1:33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</row>
    <row r="221" spans="1:33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</row>
    <row r="222" spans="1:33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</row>
    <row r="223" spans="1:3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</row>
    <row r="224" spans="1:33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</row>
    <row r="225" spans="1:33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</row>
    <row r="226" spans="1:33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</row>
    <row r="227" spans="1:33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</row>
    <row r="228" spans="1:33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</row>
    <row r="229" spans="1:33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</row>
    <row r="230" spans="1:33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</row>
    <row r="231" spans="1:33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</row>
    <row r="232" spans="1:33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</row>
    <row r="233" spans="1: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</row>
    <row r="234" spans="1:33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</row>
    <row r="235" spans="1:33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</row>
    <row r="236" spans="1:33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</row>
    <row r="237" spans="1:33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</row>
    <row r="238" spans="1:33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</row>
    <row r="239" spans="1:33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</row>
    <row r="240" spans="1:33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</row>
    <row r="241" spans="1:33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</row>
    <row r="242" spans="1:33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</row>
    <row r="243" spans="1:3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</row>
    <row r="244" spans="1:33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</row>
    <row r="245" spans="1:33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</row>
    <row r="246" spans="1:33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</row>
    <row r="247" spans="1:33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</row>
    <row r="248" spans="1:33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</row>
    <row r="249" spans="1:33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</row>
    <row r="250" spans="1:33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</row>
    <row r="251" spans="1:33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</row>
    <row r="252" spans="1:33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</row>
    <row r="253" spans="1:3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</row>
    <row r="254" spans="1:33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</row>
    <row r="255" spans="1:33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</row>
    <row r="256" spans="1:33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</row>
    <row r="257" spans="1:33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</row>
    <row r="258" spans="1:33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</row>
    <row r="259" spans="1:33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</row>
    <row r="260" spans="1:33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</row>
    <row r="261" spans="1:33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</row>
    <row r="262" spans="1:33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</row>
    <row r="263" spans="1:3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</row>
    <row r="264" spans="1:33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</row>
    <row r="265" spans="1:33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</row>
    <row r="266" spans="1:33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</row>
    <row r="267" spans="1:33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</row>
    <row r="268" spans="1:33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</row>
    <row r="269" spans="1:33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</row>
    <row r="270" spans="1:33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</row>
    <row r="271" spans="1:33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</row>
    <row r="272" spans="1:33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</row>
    <row r="273" spans="1:3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</row>
    <row r="274" spans="1:33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</row>
    <row r="275" spans="1:33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</row>
    <row r="276" spans="1:33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</row>
    <row r="277" spans="1:33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</row>
    <row r="278" spans="1:33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</row>
    <row r="279" spans="1:33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</row>
    <row r="280" spans="1:33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</row>
    <row r="281" spans="1:33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</row>
    <row r="282" spans="1:33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</row>
    <row r="283" spans="1:3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</row>
    <row r="284" spans="1:33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</row>
    <row r="285" spans="1:33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</row>
    <row r="286" spans="1:33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</row>
    <row r="287" spans="1:33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</row>
    <row r="288" spans="1:33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</row>
    <row r="289" spans="1:33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</row>
    <row r="290" spans="1:33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</row>
    <row r="291" spans="1:33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</row>
    <row r="292" spans="1:33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</row>
    <row r="293" spans="1:3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</row>
    <row r="294" spans="1:33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</row>
    <row r="295" spans="1:33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</row>
    <row r="296" spans="1:33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</row>
    <row r="297" spans="1:33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</row>
    <row r="298" spans="1:33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</row>
    <row r="299" spans="1:33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</row>
    <row r="300" spans="1:33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</row>
    <row r="301" spans="1:33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</row>
    <row r="302" spans="1:33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</row>
    <row r="303" spans="1:3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</row>
    <row r="304" spans="1:33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</row>
    <row r="305" spans="1:33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</row>
    <row r="306" spans="1:33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</row>
    <row r="307" spans="1:33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</row>
    <row r="308" spans="1:33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</row>
    <row r="309" spans="1:33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</row>
    <row r="310" spans="1:33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</row>
    <row r="311" spans="1:33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</row>
    <row r="312" spans="1:33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</row>
    <row r="313" spans="1:3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</row>
    <row r="314" spans="1:33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</row>
    <row r="315" spans="1:33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</row>
    <row r="316" spans="1:33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</row>
    <row r="317" spans="1:33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</row>
    <row r="318" spans="1:33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</row>
    <row r="319" spans="1:33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</row>
    <row r="320" spans="1:33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</row>
    <row r="321" spans="1:33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</row>
    <row r="322" spans="1:33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</row>
    <row r="323" spans="1:3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</row>
    <row r="324" spans="1:33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</row>
    <row r="325" spans="1:33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</row>
    <row r="326" spans="1:33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</row>
    <row r="327" spans="1:33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</row>
    <row r="328" spans="1:33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</row>
    <row r="329" spans="1:33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</row>
    <row r="330" spans="1:33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</row>
    <row r="331" spans="1:33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</row>
    <row r="332" spans="1:33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</row>
    <row r="333" spans="1: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</row>
    <row r="334" spans="1:33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</row>
    <row r="335" spans="1:33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</row>
    <row r="336" spans="1:33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</row>
    <row r="337" spans="1:33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</row>
    <row r="338" spans="1:33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</row>
    <row r="339" spans="1:33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</row>
    <row r="340" spans="1:33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</row>
    <row r="341" spans="1:33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</row>
    <row r="342" spans="1:33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</row>
    <row r="343" spans="1:3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</row>
    <row r="344" spans="1:33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</row>
    <row r="345" spans="1:33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</row>
    <row r="346" spans="1:33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</row>
    <row r="347" spans="1:33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</row>
    <row r="348" spans="1:33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</row>
    <row r="349" spans="1:33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</row>
    <row r="350" spans="1:33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</row>
    <row r="351" spans="1:33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</row>
    <row r="352" spans="1:33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</row>
    <row r="353" spans="1:3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</row>
    <row r="354" spans="1:33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</row>
    <row r="355" spans="1:33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</row>
    <row r="356" spans="1:33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</row>
    <row r="357" spans="1:33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</row>
    <row r="358" spans="1:33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</row>
    <row r="359" spans="1:33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</row>
    <row r="360" spans="1:33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</row>
    <row r="361" spans="1:33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</row>
    <row r="362" spans="1:33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</row>
    <row r="363" spans="1:3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</row>
    <row r="364" spans="1:33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</row>
    <row r="365" spans="1:33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</row>
    <row r="366" spans="1:33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</row>
    <row r="367" spans="1:33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</row>
    <row r="368" spans="1:33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</row>
    <row r="369" spans="1:33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</row>
    <row r="370" spans="1:33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</row>
    <row r="371" spans="1:33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</row>
    <row r="372" spans="1:33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</row>
    <row r="373" spans="1:3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</row>
    <row r="374" spans="1:33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</row>
    <row r="375" spans="1:33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</row>
    <row r="376" spans="1:33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</row>
    <row r="377" spans="1:33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</row>
    <row r="378" spans="1:33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</row>
    <row r="379" spans="1:33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</row>
    <row r="380" spans="1:33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</row>
    <row r="381" spans="1:33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</row>
    <row r="382" spans="1:33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</row>
    <row r="383" spans="1:3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</row>
    <row r="384" spans="1:33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</row>
    <row r="385" spans="1:33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</row>
    <row r="386" spans="1:33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</row>
    <row r="387" spans="1:33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</row>
    <row r="388" spans="1:33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</row>
    <row r="389" spans="1:33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</row>
    <row r="390" spans="1:33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</row>
    <row r="391" spans="1:33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</row>
    <row r="392" spans="1:33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</row>
    <row r="393" spans="1:3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</row>
    <row r="394" spans="1:33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</row>
    <row r="395" spans="1:33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</row>
    <row r="396" spans="1:33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</row>
    <row r="397" spans="1:33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</row>
    <row r="398" spans="1:33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</row>
    <row r="399" spans="1:33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</row>
    <row r="400" spans="1:33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</row>
    <row r="401" spans="1:33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</row>
    <row r="402" spans="1:33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</row>
    <row r="403" spans="1:3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</row>
    <row r="404" spans="1:33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</row>
    <row r="405" spans="1:33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</row>
    <row r="406" spans="1:33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</row>
    <row r="407" spans="1:33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</row>
    <row r="408" spans="1:33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</row>
    <row r="409" spans="1:33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</row>
    <row r="410" spans="1:33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</row>
    <row r="411" spans="1:33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</row>
    <row r="412" spans="1:33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</row>
    <row r="413" spans="1:3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</row>
    <row r="414" spans="1:33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</row>
    <row r="415" spans="1:33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</row>
    <row r="416" spans="1:33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</row>
    <row r="417" spans="1:33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</row>
    <row r="418" spans="1:33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</row>
    <row r="419" spans="1:33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</row>
    <row r="420" spans="1:33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</row>
    <row r="421" spans="1:33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</row>
    <row r="422" spans="1:33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</row>
    <row r="423" spans="1:3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</row>
    <row r="424" spans="1:33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</row>
    <row r="425" spans="1:33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</row>
    <row r="426" spans="1:33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</row>
    <row r="427" spans="1:33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</row>
    <row r="428" spans="1:33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</row>
    <row r="429" spans="1:33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</row>
    <row r="430" spans="1:33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</row>
    <row r="431" spans="1:33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</row>
    <row r="432" spans="1:33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</row>
    <row r="433" spans="1: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</row>
    <row r="434" spans="1:33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</row>
    <row r="435" spans="1:33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</row>
    <row r="436" spans="1:33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</row>
    <row r="437" spans="1:33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</row>
    <row r="438" spans="1:33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</row>
    <row r="439" spans="1:33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</row>
    <row r="440" spans="1:33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</row>
    <row r="441" spans="1:33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</row>
    <row r="442" spans="1:33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</row>
    <row r="443" spans="1:3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</row>
    <row r="444" spans="1:33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</row>
    <row r="445" spans="1:33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</row>
    <row r="446" spans="1:33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</row>
    <row r="447" spans="1:33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</row>
    <row r="448" spans="1:33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</row>
    <row r="449" spans="1:33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</row>
    <row r="450" spans="1:33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</row>
    <row r="451" spans="1:33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</row>
    <row r="452" spans="1:33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</row>
    <row r="453" spans="1:3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</row>
    <row r="454" spans="1:33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</row>
    <row r="455" spans="1:33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</row>
    <row r="456" spans="1:33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</row>
    <row r="457" spans="1:33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</row>
    <row r="458" spans="1:33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</row>
    <row r="459" spans="1:33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</row>
    <row r="460" spans="1:33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</row>
    <row r="461" spans="1:33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</row>
    <row r="462" spans="1:33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</row>
    <row r="463" spans="1:3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</row>
    <row r="464" spans="1:33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</row>
    <row r="465" spans="1:33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</row>
    <row r="466" spans="1:33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</row>
    <row r="467" spans="1:33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</row>
    <row r="468" spans="1:33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</row>
    <row r="469" spans="1:33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</row>
    <row r="470" spans="1:33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</row>
    <row r="471" spans="1:33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</row>
    <row r="472" spans="1:33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</row>
    <row r="473" spans="1:3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</row>
    <row r="474" spans="1:33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</row>
    <row r="475" spans="1:33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</row>
    <row r="476" spans="1:33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</row>
    <row r="477" spans="1:33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</row>
    <row r="478" spans="1:33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</row>
    <row r="479" spans="1:33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</row>
    <row r="480" spans="1:33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</row>
    <row r="481" spans="1:33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</row>
    <row r="482" spans="1:33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</row>
    <row r="483" spans="1:3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</row>
    <row r="484" spans="1:33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</row>
    <row r="485" spans="1:33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</row>
    <row r="486" spans="1:33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</row>
    <row r="487" spans="1:33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</row>
    <row r="488" spans="1:33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</row>
    <row r="489" spans="1:33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</row>
    <row r="490" spans="1:33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</row>
    <row r="491" spans="1:33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</row>
    <row r="492" spans="1:33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</row>
    <row r="493" spans="1:3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</row>
    <row r="494" spans="1:33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</row>
    <row r="495" spans="1:33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</row>
    <row r="496" spans="1:33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</row>
    <row r="497" spans="1:33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</row>
    <row r="498" spans="1:33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</row>
    <row r="499" spans="1:33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</row>
    <row r="500" spans="1:33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</row>
    <row r="501" spans="1:33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</row>
    <row r="502" spans="1:33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</row>
    <row r="503" spans="1:3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</row>
    <row r="504" spans="1:33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</row>
    <row r="505" spans="1:33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</row>
    <row r="506" spans="1:33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</row>
    <row r="507" spans="1:33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</row>
    <row r="508" spans="1:33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</row>
    <row r="509" spans="1:33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</row>
    <row r="510" spans="1:33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</row>
    <row r="511" spans="1:33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</row>
    <row r="512" spans="1:33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</row>
    <row r="513" spans="1:3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</row>
    <row r="514" spans="1:33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</row>
    <row r="515" spans="1:33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</row>
    <row r="516" spans="1:33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</row>
    <row r="517" spans="1:33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</row>
    <row r="518" spans="1:33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</row>
    <row r="519" spans="1:33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</row>
    <row r="520" spans="1:33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</row>
    <row r="521" spans="1:33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</row>
    <row r="522" spans="1:33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</row>
    <row r="523" spans="1:3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</row>
    <row r="524" spans="1:33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</row>
    <row r="525" spans="1:33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</row>
    <row r="526" spans="1:33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</row>
    <row r="527" spans="1:33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</row>
    <row r="528" spans="1:33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</row>
    <row r="529" spans="1:33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</row>
    <row r="530" spans="1:33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</row>
    <row r="531" spans="1:33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</row>
    <row r="532" spans="1:33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</row>
    <row r="533" spans="1: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</row>
    <row r="534" spans="1:33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</row>
    <row r="535" spans="1:33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</row>
    <row r="536" spans="1:33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</row>
    <row r="537" spans="1:33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</row>
    <row r="538" spans="1:33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</row>
    <row r="539" spans="1:33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</row>
    <row r="540" spans="1:33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</row>
    <row r="541" spans="1:33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</row>
    <row r="542" spans="1:33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</row>
    <row r="543" spans="1:3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</row>
    <row r="544" spans="1:33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</row>
    <row r="545" spans="1:33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</row>
    <row r="546" spans="1:33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</row>
    <row r="547" spans="1:33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</row>
    <row r="548" spans="1:33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</row>
    <row r="549" spans="1:33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</row>
    <row r="550" spans="1:33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</row>
    <row r="551" spans="1:33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</row>
    <row r="552" spans="1:33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</row>
    <row r="553" spans="1:3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</row>
    <row r="554" spans="1:33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</row>
    <row r="555" spans="1:33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</row>
    <row r="556" spans="1:33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</row>
    <row r="557" spans="1:33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</row>
    <row r="558" spans="1:33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</row>
    <row r="559" spans="1:33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</row>
    <row r="560" spans="1:33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</row>
    <row r="561" spans="1:33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</row>
    <row r="562" spans="1:33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</row>
    <row r="563" spans="1:3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</row>
    <row r="564" spans="1:33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</row>
    <row r="565" spans="1:33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</row>
    <row r="566" spans="1:33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</row>
    <row r="567" spans="1:33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</row>
    <row r="568" spans="1:33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</row>
    <row r="569" spans="1:33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</row>
    <row r="570" spans="1:33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</row>
    <row r="571" spans="1:33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</row>
    <row r="572" spans="1:33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</row>
    <row r="573" spans="1:3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</row>
    <row r="574" spans="1:33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</row>
    <row r="575" spans="1:33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</row>
    <row r="576" spans="1:33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</row>
    <row r="577" spans="1:33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</row>
    <row r="578" spans="1:33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</row>
    <row r="579" spans="1:33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</row>
    <row r="580" spans="1:33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</row>
    <row r="581" spans="1:33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</row>
    <row r="582" spans="1:33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</row>
    <row r="583" spans="1:3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</row>
    <row r="584" spans="1:33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</row>
    <row r="585" spans="1:33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</row>
    <row r="586" spans="1:33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</row>
    <row r="587" spans="1:33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</row>
    <row r="588" spans="1:33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</row>
    <row r="589" spans="1:33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</row>
    <row r="590" spans="1:33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</row>
    <row r="591" spans="1:33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</row>
    <row r="592" spans="1:33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</row>
    <row r="593" spans="1:3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</row>
    <row r="594" spans="1:33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</row>
    <row r="595" spans="1:33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</row>
    <row r="596" spans="1:33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</row>
    <row r="597" spans="1:33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</row>
    <row r="598" spans="1:33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</row>
    <row r="599" spans="1:33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</row>
    <row r="600" spans="1:33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</row>
    <row r="601" spans="1:33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</row>
    <row r="602" spans="1:33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</row>
    <row r="603" spans="1:3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</row>
    <row r="604" spans="1:33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</row>
    <row r="605" spans="1:33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</row>
    <row r="606" spans="1:33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</row>
    <row r="607" spans="1:33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</row>
    <row r="608" spans="1:33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</row>
    <row r="609" spans="1:33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</row>
    <row r="610" spans="1:33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</row>
    <row r="611" spans="1:33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</row>
    <row r="612" spans="1:33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</row>
    <row r="613" spans="1:3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</row>
    <row r="614" spans="1:33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</row>
    <row r="615" spans="1:33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</row>
    <row r="616" spans="1:33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</row>
    <row r="617" spans="1:33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</row>
    <row r="618" spans="1:33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</row>
    <row r="619" spans="1:33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</row>
    <row r="620" spans="1:33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</row>
    <row r="621" spans="1:33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</row>
    <row r="622" spans="1:33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</row>
    <row r="623" spans="1:3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</row>
    <row r="624" spans="1:33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</row>
    <row r="625" spans="1:33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</row>
    <row r="626" spans="1:33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</row>
    <row r="627" spans="1:33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</row>
    <row r="628" spans="1:33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</row>
    <row r="629" spans="1:33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</row>
    <row r="630" spans="1:33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</row>
    <row r="631" spans="1:33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</row>
    <row r="632" spans="1:33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</row>
    <row r="633" spans="1: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</row>
    <row r="634" spans="1:33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</row>
    <row r="635" spans="1:33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</row>
    <row r="636" spans="1:33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</row>
    <row r="637" spans="1:33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</row>
    <row r="638" spans="1:33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</row>
    <row r="639" spans="1:33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</row>
    <row r="640" spans="1:33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</row>
    <row r="641" spans="1:33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</row>
    <row r="642" spans="1:33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</row>
    <row r="643" spans="1:3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</row>
    <row r="644" spans="1:33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</row>
    <row r="645" spans="1:33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</row>
    <row r="646" spans="1:33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</row>
    <row r="647" spans="1:33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</row>
    <row r="648" spans="1:33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</row>
    <row r="649" spans="1:33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</row>
    <row r="650" spans="1:33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</row>
    <row r="651" spans="1:33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</row>
    <row r="652" spans="1:33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</row>
    <row r="653" spans="1:3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</row>
    <row r="654" spans="1:33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</row>
    <row r="655" spans="1:33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</row>
    <row r="656" spans="1:33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</row>
    <row r="657" spans="1:33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</row>
    <row r="658" spans="1:33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</row>
    <row r="659" spans="1:33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</row>
    <row r="660" spans="1:33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</row>
    <row r="661" spans="1:33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</row>
    <row r="662" spans="1:33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</row>
    <row r="663" spans="1:3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</row>
    <row r="664" spans="1:33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</row>
    <row r="665" spans="1:33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</row>
    <row r="666" spans="1:33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</row>
    <row r="667" spans="1:33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</row>
    <row r="668" spans="1:33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</row>
    <row r="669" spans="1:33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</row>
    <row r="670" spans="1:33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</row>
    <row r="671" spans="1:33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</row>
    <row r="672" spans="1:33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</row>
    <row r="673" spans="1:3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</row>
    <row r="674" spans="1:33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</row>
    <row r="675" spans="1:33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</row>
    <row r="676" spans="1:33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</row>
    <row r="677" spans="1:33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</row>
    <row r="678" spans="1:33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</row>
    <row r="679" spans="1:33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</row>
    <row r="680" spans="1:33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</row>
    <row r="681" spans="1:33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</row>
    <row r="682" spans="1:33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</row>
    <row r="683" spans="1:3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</row>
    <row r="684" spans="1:33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</row>
    <row r="685" spans="1:33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</row>
    <row r="686" spans="1:33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</row>
    <row r="687" spans="1:33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</row>
    <row r="688" spans="1:33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</row>
    <row r="689" spans="1:33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</row>
    <row r="690" spans="1:33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</row>
    <row r="691" spans="1:33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</row>
    <row r="692" spans="1:33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</row>
    <row r="693" spans="1:3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</row>
    <row r="694" spans="1:33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</row>
    <row r="695" spans="1:33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</row>
    <row r="696" spans="1:33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</row>
    <row r="697" spans="1:33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</row>
    <row r="698" spans="1:33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</row>
    <row r="699" spans="1:33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</row>
    <row r="700" spans="1:33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</row>
    <row r="701" spans="1:33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</row>
    <row r="702" spans="1:33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</row>
    <row r="703" spans="1:3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</row>
    <row r="704" spans="1:33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</row>
    <row r="705" spans="1:33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</row>
    <row r="706" spans="1:33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</row>
    <row r="707" spans="1:33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</row>
    <row r="708" spans="1:33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</row>
    <row r="709" spans="1:33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</row>
    <row r="710" spans="1:33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</row>
    <row r="711" spans="1:33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</row>
    <row r="712" spans="1:33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</row>
    <row r="713" spans="1:3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</row>
    <row r="714" spans="1:33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</row>
    <row r="715" spans="1:33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</row>
    <row r="716" spans="1:33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</row>
    <row r="717" spans="1:33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</row>
    <row r="718" spans="1:33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</row>
    <row r="719" spans="1:33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</row>
    <row r="720" spans="1:33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</row>
    <row r="721" spans="1:33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</row>
    <row r="722" spans="1:33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</row>
    <row r="723" spans="1:3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</row>
    <row r="724" spans="1:33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</row>
    <row r="725" spans="1:33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</row>
    <row r="726" spans="1:33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</row>
    <row r="727" spans="1:33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</row>
    <row r="728" spans="1:33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</row>
    <row r="729" spans="1:33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</row>
    <row r="730" spans="1:33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</row>
    <row r="731" spans="1:33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</row>
    <row r="732" spans="1:33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</row>
    <row r="733" spans="1: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</row>
    <row r="734" spans="1:33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</row>
    <row r="735" spans="1:33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</row>
    <row r="736" spans="1:33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</row>
    <row r="737" spans="1:33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</row>
    <row r="738" spans="1:33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</row>
    <row r="739" spans="1:33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</row>
    <row r="740" spans="1:33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</row>
    <row r="741" spans="1:33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</row>
    <row r="742" spans="1:33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</row>
    <row r="743" spans="1:3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</row>
    <row r="744" spans="1:33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</row>
    <row r="745" spans="1:33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</row>
    <row r="746" spans="1:33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</row>
    <row r="747" spans="1:33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</row>
    <row r="748" spans="1:33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</row>
    <row r="749" spans="1:33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</row>
    <row r="750" spans="1:33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</row>
    <row r="751" spans="1:33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</row>
    <row r="752" spans="1:33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</row>
    <row r="753" spans="1:3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</row>
    <row r="754" spans="1:33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</row>
    <row r="755" spans="1:33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</row>
    <row r="756" spans="1:33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</row>
    <row r="757" spans="1:33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</row>
    <row r="758" spans="1:33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</row>
    <row r="759" spans="1:33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</row>
    <row r="760" spans="1:33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</row>
    <row r="761" spans="1:33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</row>
    <row r="762" spans="1:33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</row>
    <row r="763" spans="1:3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</row>
    <row r="764" spans="1:33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</row>
    <row r="765" spans="1:33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</row>
    <row r="766" spans="1:33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</row>
    <row r="767" spans="1:33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</row>
    <row r="768" spans="1:33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</row>
    <row r="769" spans="1:33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</row>
    <row r="770" spans="1:33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</row>
    <row r="771" spans="1:33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</row>
    <row r="772" spans="1:33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</row>
    <row r="773" spans="1:3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</row>
    <row r="774" spans="1:33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</row>
    <row r="775" spans="1:33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</row>
    <row r="776" spans="1:33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</row>
    <row r="777" spans="1:33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</row>
    <row r="778" spans="1:33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</row>
    <row r="779" spans="1:33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</row>
    <row r="780" spans="1:33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</row>
    <row r="781" spans="1:33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</row>
    <row r="782" spans="1:33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</row>
    <row r="783" spans="1:3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</row>
    <row r="784" spans="1:33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</row>
    <row r="785" spans="1:33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</row>
    <row r="786" spans="1:33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</row>
    <row r="787" spans="1:33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</row>
    <row r="788" spans="1:33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</row>
    <row r="789" spans="1:33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</row>
    <row r="790" spans="1:33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</row>
    <row r="791" spans="1:33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</row>
    <row r="792" spans="1:33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</row>
    <row r="793" spans="1:3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</row>
    <row r="794" spans="1:33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</row>
    <row r="795" spans="1:33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</row>
    <row r="796" spans="1:33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</row>
    <row r="797" spans="1:33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</row>
    <row r="798" spans="1:33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</row>
    <row r="799" spans="1:33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</row>
    <row r="800" spans="1:33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</row>
    <row r="801" spans="1:33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</row>
    <row r="802" spans="1:33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</row>
    <row r="803" spans="1:3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</row>
    <row r="804" spans="1:33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</row>
    <row r="805" spans="1:33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</row>
    <row r="806" spans="1:33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</row>
    <row r="807" spans="1:33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</row>
    <row r="808" spans="1:33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</row>
    <row r="809" spans="1:33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</row>
    <row r="810" spans="1:33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</row>
    <row r="811" spans="1:33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</row>
    <row r="812" spans="1:33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</row>
    <row r="813" spans="1:3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</row>
    <row r="814" spans="1:33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</row>
    <row r="815" spans="1:33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</row>
    <row r="816" spans="1:33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</row>
    <row r="817" spans="1:33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</row>
    <row r="818" spans="1:33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</row>
    <row r="819" spans="1:33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</row>
    <row r="820" spans="1:33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</row>
    <row r="821" spans="1:33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</row>
    <row r="822" spans="1:33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</row>
    <row r="823" spans="1:3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</row>
    <row r="824" spans="1:33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</row>
    <row r="825" spans="1:33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</row>
    <row r="826" spans="1:33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</row>
    <row r="827" spans="1:33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</row>
    <row r="828" spans="1:33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</row>
    <row r="829" spans="1:33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</row>
    <row r="830" spans="1:33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</row>
    <row r="831" spans="1:33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</row>
    <row r="832" spans="1:33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</row>
    <row r="833" spans="1: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</row>
    <row r="834" spans="1:33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</row>
    <row r="835" spans="1:33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</row>
    <row r="836" spans="1:33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</row>
    <row r="837" spans="1:33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</row>
    <row r="838" spans="1:33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</row>
    <row r="839" spans="1:33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</row>
    <row r="840" spans="1:33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</row>
    <row r="841" spans="1:33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</row>
    <row r="842" spans="1:33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</row>
    <row r="843" spans="1:3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</row>
    <row r="844" spans="1:33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</row>
    <row r="845" spans="1:33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</row>
    <row r="846" spans="1:33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</row>
    <row r="847" spans="1:33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</row>
    <row r="848" spans="1:33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</row>
    <row r="849" spans="1:33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</row>
    <row r="850" spans="1:33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</row>
    <row r="851" spans="1:33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</row>
    <row r="852" spans="1:33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</row>
    <row r="853" spans="1:3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</row>
    <row r="854" spans="1:33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</row>
    <row r="855" spans="1:33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</row>
    <row r="856" spans="1:33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</row>
    <row r="857" spans="1:33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</row>
    <row r="858" spans="1:33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29"/>
    </row>
    <row r="859" spans="1:33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</row>
    <row r="860" spans="1:33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29"/>
    </row>
    <row r="861" spans="1:33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29"/>
    </row>
    <row r="862" spans="1:33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</row>
    <row r="863" spans="1:3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</row>
    <row r="864" spans="1:33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</row>
    <row r="865" spans="1:33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</row>
    <row r="866" spans="1:33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29"/>
    </row>
    <row r="867" spans="1:33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</row>
    <row r="868" spans="1:33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29"/>
    </row>
    <row r="869" spans="1:33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29"/>
    </row>
    <row r="870" spans="1:33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</row>
    <row r="871" spans="1:33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29"/>
    </row>
    <row r="872" spans="1:33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29"/>
    </row>
    <row r="873" spans="1:3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29"/>
    </row>
    <row r="874" spans="1:33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29"/>
    </row>
    <row r="875" spans="1:33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</row>
    <row r="876" spans="1:33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</row>
    <row r="877" spans="1:33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29"/>
    </row>
    <row r="878" spans="1:33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29"/>
    </row>
    <row r="879" spans="1:33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</row>
    <row r="880" spans="1:33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29"/>
    </row>
    <row r="881" spans="1:33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</row>
    <row r="882" spans="1:33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</row>
    <row r="883" spans="1:3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</row>
    <row r="884" spans="1:33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</row>
    <row r="885" spans="1:33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</row>
    <row r="886" spans="1:33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</row>
    <row r="887" spans="1:33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</row>
    <row r="888" spans="1:33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</row>
    <row r="889" spans="1:33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</row>
    <row r="890" spans="1:33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29"/>
    </row>
    <row r="891" spans="1:33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29"/>
    </row>
    <row r="892" spans="1:33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29"/>
    </row>
    <row r="893" spans="1:3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29"/>
    </row>
    <row r="894" spans="1:33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29"/>
    </row>
    <row r="895" spans="1:33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29"/>
    </row>
    <row r="896" spans="1:33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29"/>
    </row>
    <row r="897" spans="1:33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29"/>
    </row>
    <row r="898" spans="1:33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</row>
    <row r="899" spans="1:33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29"/>
    </row>
    <row r="900" spans="1:33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</row>
    <row r="901" spans="1:33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29"/>
    </row>
    <row r="902" spans="1:33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</row>
    <row r="903" spans="1:3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29"/>
    </row>
    <row r="904" spans="1:33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</row>
    <row r="905" spans="1:33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29"/>
    </row>
    <row r="906" spans="1:33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29"/>
    </row>
    <row r="907" spans="1:33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</row>
    <row r="908" spans="1:33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  <c r="AG908" s="29"/>
    </row>
    <row r="909" spans="1:33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  <c r="AG909" s="29"/>
    </row>
    <row r="910" spans="1:33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  <c r="AG910" s="29"/>
    </row>
    <row r="911" spans="1:33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  <c r="AG911" s="29"/>
    </row>
    <row r="912" spans="1:33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29"/>
    </row>
    <row r="913" spans="1:3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29"/>
    </row>
    <row r="914" spans="1:33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29"/>
    </row>
    <row r="915" spans="1:33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29"/>
    </row>
    <row r="916" spans="1:33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  <c r="AG916" s="29"/>
    </row>
    <row r="917" spans="1:33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29"/>
    </row>
    <row r="918" spans="1:33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29"/>
    </row>
    <row r="919" spans="1:33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29"/>
    </row>
    <row r="920" spans="1:33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29"/>
    </row>
    <row r="921" spans="1:33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</row>
    <row r="922" spans="1:33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29"/>
    </row>
    <row r="923" spans="1:3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  <c r="AG923" s="29"/>
    </row>
    <row r="924" spans="1:33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29"/>
    </row>
    <row r="925" spans="1:33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29"/>
    </row>
    <row r="926" spans="1:33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29"/>
    </row>
    <row r="927" spans="1:33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  <c r="AG927" s="29"/>
    </row>
    <row r="928" spans="1:33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29"/>
    </row>
    <row r="929" spans="1:33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29"/>
    </row>
    <row r="930" spans="1:33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</row>
    <row r="931" spans="1:33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29"/>
    </row>
    <row r="932" spans="1:33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29"/>
    </row>
    <row r="933" spans="1: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29"/>
    </row>
    <row r="934" spans="1:33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29"/>
    </row>
    <row r="935" spans="1:33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29"/>
    </row>
    <row r="936" spans="1:33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29"/>
    </row>
    <row r="937" spans="1:33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29"/>
    </row>
    <row r="938" spans="1:33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29"/>
    </row>
    <row r="939" spans="1:33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29"/>
    </row>
    <row r="940" spans="1:33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29"/>
    </row>
    <row r="941" spans="1:33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  <c r="AG941" s="29"/>
    </row>
    <row r="942" spans="1:33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</row>
    <row r="943" spans="1:3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29"/>
    </row>
    <row r="944" spans="1:33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29"/>
    </row>
    <row r="945" spans="1:33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29"/>
    </row>
    <row r="946" spans="1:33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29"/>
    </row>
    <row r="947" spans="1:33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29"/>
    </row>
    <row r="948" spans="1:33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29"/>
    </row>
    <row r="949" spans="1:33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29"/>
    </row>
    <row r="950" spans="1:33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29"/>
    </row>
    <row r="951" spans="1:33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29"/>
    </row>
    <row r="952" spans="1:33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29"/>
    </row>
    <row r="953" spans="1:3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29"/>
    </row>
    <row r="954" spans="1:33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29"/>
    </row>
    <row r="955" spans="1:33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29"/>
    </row>
    <row r="956" spans="1:33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29"/>
    </row>
    <row r="957" spans="1:33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29"/>
    </row>
    <row r="958" spans="1:33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29"/>
    </row>
    <row r="959" spans="1:33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29"/>
    </row>
    <row r="960" spans="1:33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29"/>
    </row>
    <row r="961" spans="1:33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  <c r="AG961" s="29"/>
    </row>
    <row r="962" spans="1:33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  <c r="AG962" s="29"/>
    </row>
    <row r="963" spans="1:33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29"/>
    </row>
    <row r="964" spans="1:33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29"/>
    </row>
    <row r="965" spans="1:33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29"/>
    </row>
    <row r="966" spans="1:33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29"/>
    </row>
    <row r="967" spans="1:33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  <c r="AG967" s="29"/>
    </row>
    <row r="968" spans="1:33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29"/>
    </row>
    <row r="969" spans="1:33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  <c r="AG969" s="29"/>
    </row>
    <row r="970" spans="1:33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  <c r="AG970" s="29"/>
    </row>
    <row r="971" spans="1:33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  <c r="AG971" s="29"/>
    </row>
    <row r="972" spans="1:33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F972" s="29"/>
      <c r="AG972" s="29"/>
    </row>
    <row r="973" spans="1:33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  <c r="AG973" s="29"/>
    </row>
    <row r="974" spans="1:33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  <c r="AG974" s="29"/>
    </row>
    <row r="975" spans="1:33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  <c r="AG975" s="29"/>
    </row>
    <row r="976" spans="1:33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F976" s="29"/>
      <c r="AG976" s="29"/>
    </row>
    <row r="977" spans="1:33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  <c r="AG977" s="29"/>
    </row>
    <row r="978" spans="1:33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  <c r="AF978" s="29"/>
      <c r="AG978" s="29"/>
    </row>
    <row r="979" spans="1:33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29"/>
      <c r="AG979" s="29"/>
    </row>
    <row r="980" spans="1:33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29"/>
      <c r="AG980" s="29"/>
    </row>
    <row r="981" spans="1:33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  <c r="AF981" s="29"/>
      <c r="AG981" s="29"/>
    </row>
    <row r="982" spans="1:33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  <c r="AF982" s="29"/>
      <c r="AG982" s="29"/>
    </row>
    <row r="983" spans="1:33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F983" s="29"/>
      <c r="AG983" s="29"/>
    </row>
    <row r="984" spans="1:33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  <c r="AF984" s="29"/>
      <c r="AG984" s="29"/>
    </row>
    <row r="985" spans="1:33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  <c r="AF985" s="29"/>
      <c r="AG985" s="29"/>
    </row>
    <row r="986" spans="1:33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  <c r="AF986" s="29"/>
      <c r="AG986" s="29"/>
    </row>
    <row r="987" spans="1:33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F987" s="29"/>
      <c r="AG987" s="29"/>
    </row>
    <row r="988" spans="1:33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  <c r="AF988" s="29"/>
      <c r="AG988" s="29"/>
    </row>
    <row r="989" spans="1:33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F989" s="29"/>
      <c r="AG989" s="29"/>
    </row>
    <row r="990" spans="1:33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  <c r="AG990" s="29"/>
    </row>
    <row r="991" spans="1:33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  <c r="AG991" s="29"/>
    </row>
    <row r="992" spans="1:33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  <c r="AG992" s="29"/>
    </row>
    <row r="993" spans="1:33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  <c r="AF993" s="29"/>
      <c r="AG993" s="29"/>
    </row>
    <row r="994" spans="1:33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  <c r="AF994" s="29"/>
      <c r="AG994" s="29"/>
    </row>
    <row r="995" spans="1:33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9"/>
      <c r="AF995" s="29"/>
      <c r="AG995" s="29"/>
    </row>
    <row r="996" spans="1:33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  <c r="AE996" s="29"/>
      <c r="AF996" s="29"/>
      <c r="AG996" s="29"/>
    </row>
    <row r="997" spans="1:33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  <c r="AE997" s="29"/>
      <c r="AF997" s="29"/>
      <c r="AG997" s="29"/>
    </row>
    <row r="998" spans="1:33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  <c r="AE998" s="29"/>
      <c r="AF998" s="29"/>
      <c r="AG998" s="29"/>
    </row>
    <row r="999" spans="1:33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  <c r="AE999" s="29"/>
      <c r="AF999" s="29"/>
      <c r="AG999" s="29"/>
    </row>
    <row r="1000" spans="1:33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  <c r="AC1000" s="29"/>
      <c r="AD1000" s="29"/>
      <c r="AE1000" s="29"/>
      <c r="AF1000" s="29"/>
      <c r="AG1000" s="29"/>
    </row>
    <row r="1001" spans="1:33">
      <c r="A1001" s="29"/>
      <c r="B1001" s="29"/>
      <c r="C1001" s="29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  <c r="AA1001" s="29"/>
      <c r="AB1001" s="29"/>
      <c r="AC1001" s="29"/>
      <c r="AD1001" s="29"/>
      <c r="AE1001" s="29"/>
      <c r="AF1001" s="29"/>
      <c r="AG1001" s="29"/>
    </row>
    <row r="1002" spans="1:33">
      <c r="A1002" s="29"/>
      <c r="B1002" s="29"/>
      <c r="C1002" s="29"/>
      <c r="D1002" s="29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  <c r="AA1002" s="29"/>
      <c r="AB1002" s="29"/>
      <c r="AC1002" s="29"/>
      <c r="AD1002" s="29"/>
      <c r="AE1002" s="29"/>
      <c r="AF1002" s="29"/>
      <c r="AG1002" s="29"/>
    </row>
    <row r="1003" spans="1:33">
      <c r="A1003" s="29"/>
      <c r="B1003" s="29"/>
      <c r="C1003" s="29"/>
      <c r="D1003" s="29"/>
      <c r="E1003" s="29"/>
      <c r="F1003" s="29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  <c r="AA1003" s="29"/>
      <c r="AB1003" s="29"/>
      <c r="AC1003" s="29"/>
      <c r="AD1003" s="29"/>
      <c r="AE1003" s="29"/>
      <c r="AF1003" s="29"/>
      <c r="AG1003" s="29"/>
    </row>
    <row r="1004" spans="1:33">
      <c r="A1004" s="29"/>
      <c r="B1004" s="29"/>
      <c r="C1004" s="29"/>
      <c r="D1004" s="29"/>
      <c r="E1004" s="29"/>
      <c r="F1004" s="29"/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  <c r="Z1004" s="29"/>
      <c r="AA1004" s="29"/>
      <c r="AB1004" s="29"/>
      <c r="AC1004" s="29"/>
      <c r="AD1004" s="29"/>
      <c r="AE1004" s="29"/>
      <c r="AF1004" s="29"/>
      <c r="AG1004" s="29"/>
    </row>
    <row r="1005" spans="1:33">
      <c r="A1005" s="29"/>
      <c r="B1005" s="29"/>
      <c r="C1005" s="29"/>
      <c r="D1005" s="29"/>
      <c r="E1005" s="29"/>
      <c r="F1005" s="29"/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  <c r="Z1005" s="29"/>
      <c r="AA1005" s="29"/>
      <c r="AB1005" s="29"/>
      <c r="AC1005" s="29"/>
      <c r="AD1005" s="29"/>
      <c r="AE1005" s="29"/>
      <c r="AF1005" s="29"/>
      <c r="AG1005" s="29"/>
    </row>
    <row r="1006" spans="1:33">
      <c r="A1006" s="29"/>
      <c r="B1006" s="29"/>
      <c r="C1006" s="29"/>
      <c r="D1006" s="29"/>
      <c r="E1006" s="29"/>
      <c r="F1006" s="29"/>
      <c r="G1006" s="29"/>
      <c r="H1006" s="29"/>
      <c r="I1006" s="29"/>
      <c r="J1006" s="29"/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  <c r="Z1006" s="29"/>
      <c r="AA1006" s="29"/>
      <c r="AB1006" s="29"/>
      <c r="AC1006" s="29"/>
      <c r="AD1006" s="29"/>
      <c r="AE1006" s="29"/>
      <c r="AF1006" s="29"/>
      <c r="AG1006" s="29"/>
    </row>
    <row r="1007" spans="1:33">
      <c r="A1007" s="29"/>
      <c r="B1007" s="29"/>
      <c r="C1007" s="29"/>
      <c r="D1007" s="29"/>
      <c r="E1007" s="29"/>
      <c r="F1007" s="29"/>
      <c r="G1007" s="29"/>
      <c r="H1007" s="29"/>
      <c r="I1007" s="29"/>
      <c r="J1007" s="29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  <c r="Z1007" s="29"/>
      <c r="AA1007" s="29"/>
      <c r="AB1007" s="29"/>
      <c r="AC1007" s="29"/>
      <c r="AD1007" s="29"/>
      <c r="AE1007" s="29"/>
      <c r="AF1007" s="29"/>
      <c r="AG1007" s="29"/>
    </row>
    <row r="1008" spans="1:33">
      <c r="A1008" s="29"/>
      <c r="B1008" s="29"/>
      <c r="C1008" s="29"/>
      <c r="D1008" s="29"/>
      <c r="E1008" s="29"/>
      <c r="F1008" s="29"/>
      <c r="G1008" s="29"/>
      <c r="H1008" s="29"/>
      <c r="I1008" s="29"/>
      <c r="J1008" s="29"/>
      <c r="K1008" s="29"/>
      <c r="L1008" s="29"/>
      <c r="M1008" s="29"/>
      <c r="N1008" s="29"/>
      <c r="O1008" s="29"/>
      <c r="P1008" s="29"/>
      <c r="Q1008" s="29"/>
      <c r="R1008" s="29"/>
      <c r="S1008" s="29"/>
      <c r="T1008" s="29"/>
      <c r="U1008" s="29"/>
      <c r="V1008" s="29"/>
      <c r="W1008" s="29"/>
      <c r="X1008" s="29"/>
      <c r="Y1008" s="29"/>
      <c r="Z1008" s="29"/>
      <c r="AA1008" s="29"/>
      <c r="AB1008" s="29"/>
      <c r="AC1008" s="29"/>
      <c r="AD1008" s="29"/>
      <c r="AE1008" s="29"/>
      <c r="AF1008" s="29"/>
      <c r="AG1008" s="29"/>
    </row>
    <row r="1009" spans="1:33">
      <c r="A1009" s="29"/>
      <c r="B1009" s="29"/>
      <c r="C1009" s="29"/>
      <c r="D1009" s="29"/>
      <c r="E1009" s="29"/>
      <c r="F1009" s="29"/>
      <c r="G1009" s="29"/>
      <c r="H1009" s="29"/>
      <c r="I1009" s="29"/>
      <c r="J1009" s="29"/>
      <c r="K1009" s="29"/>
      <c r="L1009" s="29"/>
      <c r="M1009" s="29"/>
      <c r="N1009" s="29"/>
      <c r="O1009" s="29"/>
      <c r="P1009" s="29"/>
      <c r="Q1009" s="29"/>
      <c r="R1009" s="29"/>
      <c r="S1009" s="29"/>
      <c r="T1009" s="29"/>
      <c r="U1009" s="29"/>
      <c r="V1009" s="29"/>
      <c r="W1009" s="29"/>
      <c r="X1009" s="29"/>
      <c r="Y1009" s="29"/>
      <c r="Z1009" s="29"/>
      <c r="AA1009" s="29"/>
      <c r="AB1009" s="29"/>
      <c r="AC1009" s="29"/>
      <c r="AD1009" s="29"/>
      <c r="AE1009" s="29"/>
      <c r="AF1009" s="29"/>
      <c r="AG1009" s="29"/>
    </row>
    <row r="1010" spans="1:33">
      <c r="A1010" s="29"/>
      <c r="B1010" s="29"/>
      <c r="C1010" s="29"/>
      <c r="D1010" s="29"/>
      <c r="E1010" s="29"/>
      <c r="F1010" s="29"/>
      <c r="G1010" s="29"/>
      <c r="H1010" s="29"/>
      <c r="I1010" s="29"/>
      <c r="J1010" s="29"/>
      <c r="K1010" s="29"/>
      <c r="L1010" s="29"/>
      <c r="M1010" s="29"/>
      <c r="N1010" s="29"/>
      <c r="O1010" s="29"/>
      <c r="P1010" s="29"/>
      <c r="Q1010" s="29"/>
      <c r="R1010" s="29"/>
      <c r="S1010" s="29"/>
      <c r="T1010" s="29"/>
      <c r="U1010" s="29"/>
      <c r="V1010" s="29"/>
      <c r="W1010" s="29"/>
      <c r="X1010" s="29"/>
      <c r="Y1010" s="29"/>
      <c r="Z1010" s="29"/>
      <c r="AA1010" s="29"/>
      <c r="AB1010" s="29"/>
      <c r="AC1010" s="29"/>
      <c r="AD1010" s="29"/>
      <c r="AE1010" s="29"/>
      <c r="AF1010" s="29"/>
      <c r="AG1010" s="29"/>
    </row>
  </sheetData>
  <mergeCells count="1">
    <mergeCell ref="E1:K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J1013"/>
  <sheetViews>
    <sheetView workbookViewId="0"/>
  </sheetViews>
  <sheetFormatPr defaultColWidth="14.453125" defaultRowHeight="15" customHeight="1"/>
  <cols>
    <col min="2" max="3" width="22.08984375" customWidth="1"/>
    <col min="4" max="4" width="40.81640625" customWidth="1"/>
    <col min="5" max="5" width="6.453125" customWidth="1"/>
    <col min="6" max="6" width="9.453125" customWidth="1"/>
    <col min="7" max="7" width="29.7265625" customWidth="1"/>
    <col min="8" max="10" width="15.7265625" customWidth="1"/>
    <col min="11" max="13" width="18.26953125" customWidth="1"/>
    <col min="14" max="14" width="31.453125" customWidth="1"/>
    <col min="15" max="15" width="6" customWidth="1"/>
    <col min="16" max="16" width="5.54296875" customWidth="1"/>
    <col min="17" max="17" width="22.453125" customWidth="1"/>
  </cols>
  <sheetData>
    <row r="1" spans="1:36">
      <c r="A1" s="1" t="s">
        <v>38</v>
      </c>
      <c r="B1" s="1" t="s">
        <v>505</v>
      </c>
      <c r="C1" s="1" t="s">
        <v>40</v>
      </c>
      <c r="D1" s="50" t="s">
        <v>41</v>
      </c>
      <c r="E1" s="46"/>
      <c r="F1" s="46"/>
      <c r="G1" s="46"/>
      <c r="H1" s="46"/>
      <c r="I1" s="46"/>
      <c r="J1" s="46"/>
      <c r="K1" s="46"/>
      <c r="L1" s="46"/>
      <c r="M1" s="46"/>
      <c r="N1" s="46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</row>
    <row r="2" spans="1:36">
      <c r="A2" s="29"/>
      <c r="B2" s="29"/>
      <c r="C2" s="29"/>
      <c r="D2" s="31" t="s">
        <v>42</v>
      </c>
      <c r="E2" s="2" t="s">
        <v>15</v>
      </c>
      <c r="F2" s="2" t="s">
        <v>44</v>
      </c>
      <c r="G2" s="2" t="s">
        <v>6</v>
      </c>
      <c r="H2" s="2"/>
      <c r="I2" s="2"/>
      <c r="J2" s="2"/>
      <c r="K2" s="2"/>
      <c r="L2" s="2"/>
      <c r="M2" s="2"/>
      <c r="N2" s="2" t="s">
        <v>45</v>
      </c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</row>
    <row r="3" spans="1:36">
      <c r="A3" s="29" t="s">
        <v>47</v>
      </c>
      <c r="B3" s="29" t="s">
        <v>506</v>
      </c>
      <c r="C3" s="29" t="s">
        <v>507</v>
      </c>
      <c r="D3" s="29" t="s">
        <v>508</v>
      </c>
      <c r="E3" s="29">
        <v>6</v>
      </c>
      <c r="F3" s="29">
        <v>6.69</v>
      </c>
      <c r="G3" s="29">
        <v>7</v>
      </c>
      <c r="H3" s="29"/>
      <c r="I3" s="29"/>
      <c r="J3" s="29"/>
      <c r="K3" s="29"/>
      <c r="L3" s="29"/>
      <c r="M3" s="29"/>
      <c r="N3" s="29">
        <v>39</v>
      </c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</row>
    <row r="4" spans="1:36">
      <c r="A4" s="29" t="s">
        <v>47</v>
      </c>
      <c r="B4" s="29" t="s">
        <v>506</v>
      </c>
      <c r="C4" s="29" t="s">
        <v>509</v>
      </c>
      <c r="D4" s="29" t="s">
        <v>510</v>
      </c>
      <c r="E4" s="29">
        <v>6</v>
      </c>
      <c r="F4" s="29">
        <v>5.74</v>
      </c>
      <c r="G4" s="29">
        <v>5</v>
      </c>
      <c r="H4" s="29"/>
      <c r="I4" s="29"/>
      <c r="J4" s="29"/>
      <c r="K4" s="29"/>
      <c r="L4" s="29"/>
      <c r="M4" s="29"/>
      <c r="N4" s="29">
        <v>27</v>
      </c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</row>
    <row r="5" spans="1:36">
      <c r="A5" s="29" t="s">
        <v>47</v>
      </c>
      <c r="B5" s="29" t="s">
        <v>506</v>
      </c>
      <c r="C5" s="29" t="s">
        <v>64</v>
      </c>
      <c r="D5" s="29" t="s">
        <v>511</v>
      </c>
      <c r="E5" s="29">
        <v>0</v>
      </c>
      <c r="F5" s="29">
        <v>2.1</v>
      </c>
      <c r="G5" s="29">
        <v>3</v>
      </c>
      <c r="H5" s="29"/>
      <c r="I5" s="29"/>
      <c r="J5" s="29"/>
      <c r="K5" s="29"/>
      <c r="L5" s="29"/>
      <c r="M5" s="29"/>
      <c r="N5" s="29">
        <v>23</v>
      </c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</row>
    <row r="6" spans="1:36">
      <c r="A6" s="29" t="s">
        <v>47</v>
      </c>
      <c r="B6" s="29" t="s">
        <v>506</v>
      </c>
      <c r="C6" s="29" t="s">
        <v>221</v>
      </c>
      <c r="D6" s="29" t="s">
        <v>512</v>
      </c>
      <c r="E6" s="29">
        <v>0</v>
      </c>
      <c r="F6" s="29">
        <v>0.56999999999999995</v>
      </c>
      <c r="G6" s="29">
        <v>2</v>
      </c>
      <c r="H6" s="29"/>
      <c r="I6" s="29"/>
      <c r="J6" s="29"/>
      <c r="K6" s="29"/>
      <c r="L6" s="29"/>
      <c r="M6" s="29"/>
      <c r="N6" s="29">
        <v>11</v>
      </c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</row>
    <row r="7" spans="1:36">
      <c r="A7" s="29"/>
      <c r="B7" s="29"/>
      <c r="C7" s="29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</row>
    <row r="8" spans="1:36">
      <c r="A8" s="29"/>
      <c r="B8" s="29">
        <f>AVERAGE(6,14,11,2)</f>
        <v>8.25</v>
      </c>
      <c r="C8" s="29">
        <f>AVERAGE(65,53,50,25)</f>
        <v>48.25</v>
      </c>
      <c r="D8" s="2" t="s">
        <v>94</v>
      </c>
      <c r="E8" s="2" t="s">
        <v>57</v>
      </c>
      <c r="F8" s="2" t="s">
        <v>58</v>
      </c>
      <c r="G8" s="2" t="s">
        <v>95</v>
      </c>
      <c r="H8" s="2"/>
      <c r="I8" s="2"/>
      <c r="J8" s="2" t="s">
        <v>57</v>
      </c>
      <c r="K8" s="2"/>
      <c r="L8" s="2"/>
      <c r="M8" s="2" t="s">
        <v>58</v>
      </c>
      <c r="N8" s="2" t="s">
        <v>96</v>
      </c>
      <c r="O8" s="2" t="s">
        <v>341</v>
      </c>
      <c r="P8" s="2" t="s">
        <v>342</v>
      </c>
      <c r="Q8" s="2" t="s">
        <v>31</v>
      </c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</row>
    <row r="9" spans="1:36">
      <c r="A9" s="29" t="s">
        <v>100</v>
      </c>
      <c r="B9" s="29" t="s">
        <v>101</v>
      </c>
      <c r="C9" s="29" t="s">
        <v>513</v>
      </c>
      <c r="D9" s="29" t="s">
        <v>514</v>
      </c>
      <c r="E9" s="29">
        <v>463</v>
      </c>
      <c r="F9" s="29">
        <v>0.85</v>
      </c>
      <c r="G9" s="29" t="s">
        <v>515</v>
      </c>
      <c r="H9" s="29"/>
      <c r="I9" s="29"/>
      <c r="J9" s="29">
        <v>50</v>
      </c>
      <c r="K9" s="29"/>
      <c r="L9" s="29"/>
      <c r="M9" s="29">
        <v>0.68</v>
      </c>
      <c r="N9" s="29" t="s">
        <v>516</v>
      </c>
      <c r="O9" s="29">
        <v>74</v>
      </c>
      <c r="P9" s="29">
        <v>65</v>
      </c>
      <c r="Q9" s="29">
        <v>6</v>
      </c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</row>
    <row r="10" spans="1:36">
      <c r="A10" s="29" t="s">
        <v>113</v>
      </c>
      <c r="B10" s="29" t="s">
        <v>101</v>
      </c>
      <c r="C10" s="29" t="s">
        <v>70</v>
      </c>
      <c r="D10" s="29" t="s">
        <v>517</v>
      </c>
      <c r="E10" s="29">
        <v>474</v>
      </c>
      <c r="F10" s="29">
        <v>0.79</v>
      </c>
      <c r="G10" s="29" t="s">
        <v>518</v>
      </c>
      <c r="H10" s="29"/>
      <c r="I10" s="29"/>
      <c r="J10" s="29">
        <v>89</v>
      </c>
      <c r="K10" s="29"/>
      <c r="L10" s="29"/>
      <c r="M10" s="29">
        <v>0.61</v>
      </c>
      <c r="N10" s="29" t="s">
        <v>519</v>
      </c>
      <c r="O10" s="29">
        <v>74</v>
      </c>
      <c r="P10" s="29">
        <v>53</v>
      </c>
      <c r="Q10" s="29">
        <v>14</v>
      </c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spans="1:36">
      <c r="A11" s="29" t="s">
        <v>107</v>
      </c>
      <c r="B11" s="29" t="s">
        <v>101</v>
      </c>
      <c r="C11" s="29" t="s">
        <v>507</v>
      </c>
      <c r="D11" s="29" t="s">
        <v>520</v>
      </c>
      <c r="E11" s="29">
        <v>661</v>
      </c>
      <c r="F11" s="29">
        <v>0.82</v>
      </c>
      <c r="G11" s="29" t="s">
        <v>521</v>
      </c>
      <c r="H11" s="29"/>
      <c r="I11" s="29"/>
      <c r="J11" s="29">
        <v>95</v>
      </c>
      <c r="K11" s="29"/>
      <c r="L11" s="29"/>
      <c r="M11" s="29">
        <v>0.7</v>
      </c>
      <c r="N11" s="29" t="s">
        <v>522</v>
      </c>
      <c r="O11" s="29">
        <v>107</v>
      </c>
      <c r="P11" s="29">
        <v>50</v>
      </c>
      <c r="Q11" s="29">
        <v>11</v>
      </c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spans="1:36">
      <c r="A12" s="29" t="s">
        <v>220</v>
      </c>
      <c r="B12" s="29" t="s">
        <v>357</v>
      </c>
      <c r="C12" s="29" t="s">
        <v>523</v>
      </c>
      <c r="D12" s="29" t="s">
        <v>524</v>
      </c>
      <c r="E12" s="29">
        <v>321</v>
      </c>
      <c r="F12" s="29">
        <v>0.72</v>
      </c>
      <c r="G12" s="29" t="s">
        <v>525</v>
      </c>
      <c r="H12" s="29"/>
      <c r="I12" s="29"/>
      <c r="J12" s="29">
        <v>86</v>
      </c>
      <c r="K12" s="29"/>
      <c r="L12" s="29"/>
      <c r="M12" s="29">
        <v>0.56999999999999995</v>
      </c>
      <c r="N12" s="29" t="s">
        <v>526</v>
      </c>
      <c r="O12" s="29">
        <v>71</v>
      </c>
      <c r="P12" s="29">
        <v>25</v>
      </c>
      <c r="Q12" s="29">
        <v>2</v>
      </c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spans="1:36">
      <c r="A13" s="29"/>
      <c r="B13" s="29"/>
      <c r="C13" s="29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spans="1:36">
      <c r="A14" s="29"/>
      <c r="B14" s="29"/>
      <c r="C14" s="29"/>
      <c r="D14" s="2" t="s">
        <v>118</v>
      </c>
      <c r="E14" s="2" t="s">
        <v>44</v>
      </c>
      <c r="F14" s="2" t="s">
        <v>119</v>
      </c>
      <c r="G14" s="2" t="s">
        <v>35</v>
      </c>
      <c r="H14" s="2"/>
      <c r="I14" s="2"/>
      <c r="J14" s="2"/>
      <c r="K14" s="2"/>
      <c r="L14" s="2"/>
      <c r="M14" s="2"/>
      <c r="N14" s="2" t="s">
        <v>120</v>
      </c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spans="1:36">
      <c r="A15" s="29" t="s">
        <v>122</v>
      </c>
      <c r="B15" s="29" t="s">
        <v>123</v>
      </c>
      <c r="C15" s="29" t="s">
        <v>358</v>
      </c>
      <c r="D15" s="29" t="s">
        <v>527</v>
      </c>
      <c r="E15" s="29">
        <v>25.29</v>
      </c>
      <c r="F15" s="29">
        <v>21</v>
      </c>
      <c r="G15" s="29">
        <v>1.05</v>
      </c>
      <c r="H15" s="29"/>
      <c r="I15" s="29"/>
      <c r="J15" s="29"/>
      <c r="K15" s="29"/>
      <c r="L15" s="29"/>
      <c r="M15" s="29"/>
      <c r="N15" s="40">
        <v>0.78</v>
      </c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spans="1:36">
      <c r="A16" s="29"/>
      <c r="B16" s="29"/>
      <c r="C16" s="29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spans="1:36">
      <c r="A17" s="29"/>
      <c r="B17" s="29"/>
      <c r="C17" s="29"/>
      <c r="D17" s="31" t="s">
        <v>125</v>
      </c>
      <c r="E17" s="32" t="s">
        <v>57</v>
      </c>
      <c r="F17" s="32" t="s">
        <v>58</v>
      </c>
      <c r="G17" s="31" t="s">
        <v>126</v>
      </c>
      <c r="H17" s="32"/>
      <c r="I17" s="32"/>
      <c r="J17" s="32" t="s">
        <v>57</v>
      </c>
      <c r="K17" s="32"/>
      <c r="L17" s="32"/>
      <c r="M17" s="32" t="s">
        <v>58</v>
      </c>
      <c r="N17" s="31" t="s">
        <v>127</v>
      </c>
      <c r="O17" s="29" t="s">
        <v>128</v>
      </c>
      <c r="P17" s="29" t="s">
        <v>58</v>
      </c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spans="1:36">
      <c r="A18" s="29" t="s">
        <v>235</v>
      </c>
      <c r="B18" s="29" t="s">
        <v>131</v>
      </c>
      <c r="C18" s="29" t="s">
        <v>138</v>
      </c>
      <c r="D18" s="29" t="s">
        <v>528</v>
      </c>
      <c r="E18" s="29">
        <v>398</v>
      </c>
      <c r="F18" s="29">
        <v>0.81</v>
      </c>
      <c r="G18" s="29" t="s">
        <v>529</v>
      </c>
      <c r="H18" s="29"/>
      <c r="I18" s="29"/>
      <c r="J18" s="29">
        <v>9</v>
      </c>
      <c r="K18" s="29"/>
      <c r="L18" s="29"/>
      <c r="M18" s="29">
        <v>0.21</v>
      </c>
      <c r="N18" s="29" t="s">
        <v>530</v>
      </c>
      <c r="O18" s="29">
        <v>75</v>
      </c>
      <c r="P18" s="29">
        <v>0.61</v>
      </c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spans="1:36">
      <c r="A19" s="29" t="s">
        <v>137</v>
      </c>
      <c r="B19" s="29" t="s">
        <v>131</v>
      </c>
      <c r="C19" s="29" t="s">
        <v>395</v>
      </c>
      <c r="D19" s="29" t="s">
        <v>531</v>
      </c>
      <c r="E19" s="29">
        <v>86</v>
      </c>
      <c r="F19" s="29">
        <v>0.68</v>
      </c>
      <c r="G19" s="29" t="s">
        <v>532</v>
      </c>
      <c r="H19" s="29"/>
      <c r="I19" s="29"/>
      <c r="J19" s="29">
        <v>7</v>
      </c>
      <c r="K19" s="29"/>
      <c r="L19" s="29"/>
      <c r="M19" s="29">
        <v>0.5</v>
      </c>
      <c r="N19" s="29" t="s">
        <v>533</v>
      </c>
      <c r="O19" s="29">
        <v>11</v>
      </c>
      <c r="P19" s="29">
        <v>0.46</v>
      </c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spans="1:36">
      <c r="A20" s="29" t="s">
        <v>137</v>
      </c>
      <c r="B20" s="29" t="s">
        <v>131</v>
      </c>
      <c r="C20" s="29" t="s">
        <v>75</v>
      </c>
      <c r="D20" s="29" t="s">
        <v>534</v>
      </c>
      <c r="E20" s="29">
        <v>452</v>
      </c>
      <c r="F20" s="29">
        <v>0.85</v>
      </c>
      <c r="G20" s="29" t="s">
        <v>535</v>
      </c>
      <c r="H20" s="29"/>
      <c r="I20" s="29"/>
      <c r="J20" s="29">
        <v>16</v>
      </c>
      <c r="K20" s="29"/>
      <c r="L20" s="29"/>
      <c r="M20" s="29">
        <v>0.44</v>
      </c>
      <c r="N20" s="29" t="s">
        <v>536</v>
      </c>
      <c r="O20" s="29">
        <v>41</v>
      </c>
      <c r="P20" s="29">
        <v>0.56999999999999995</v>
      </c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spans="1:36">
      <c r="A21" s="29" t="s">
        <v>235</v>
      </c>
      <c r="B21" s="29" t="s">
        <v>131</v>
      </c>
      <c r="C21" s="29" t="s">
        <v>221</v>
      </c>
      <c r="D21" s="29" t="s">
        <v>537</v>
      </c>
      <c r="E21" s="29">
        <v>342</v>
      </c>
      <c r="F21" s="29">
        <v>0.8</v>
      </c>
      <c r="G21" s="29" t="s">
        <v>538</v>
      </c>
      <c r="H21" s="29"/>
      <c r="I21" s="29"/>
      <c r="J21" s="29">
        <v>14</v>
      </c>
      <c r="K21" s="29"/>
      <c r="L21" s="29"/>
      <c r="M21" s="29">
        <v>0.47</v>
      </c>
      <c r="N21" s="29" t="s">
        <v>539</v>
      </c>
      <c r="O21" s="29">
        <v>54</v>
      </c>
      <c r="P21" s="29">
        <v>0.59</v>
      </c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spans="1:3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spans="1:36">
      <c r="A23" s="2"/>
      <c r="B23" s="2"/>
      <c r="C23" s="2"/>
      <c r="D23" s="2" t="s">
        <v>56</v>
      </c>
      <c r="E23" s="2" t="s">
        <v>57</v>
      </c>
      <c r="F23" s="2" t="s">
        <v>58</v>
      </c>
      <c r="G23" s="2" t="s">
        <v>59</v>
      </c>
      <c r="H23" s="2" t="s">
        <v>57</v>
      </c>
      <c r="I23" s="2" t="s">
        <v>58</v>
      </c>
      <c r="J23" s="2" t="s">
        <v>60</v>
      </c>
      <c r="K23" s="2" t="s">
        <v>6</v>
      </c>
      <c r="L23" s="2" t="s">
        <v>15</v>
      </c>
      <c r="M23" s="2" t="s">
        <v>45</v>
      </c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spans="1:36">
      <c r="A24" s="29" t="s">
        <v>146</v>
      </c>
      <c r="B24" s="29" t="s">
        <v>63</v>
      </c>
      <c r="C24" s="29" t="s">
        <v>80</v>
      </c>
      <c r="D24" s="29" t="s">
        <v>540</v>
      </c>
      <c r="E24" s="29">
        <v>26</v>
      </c>
      <c r="F24" s="29">
        <v>0.74</v>
      </c>
      <c r="G24" s="29" t="s">
        <v>541</v>
      </c>
      <c r="H24" s="29">
        <v>10</v>
      </c>
      <c r="I24" s="29">
        <v>0.2</v>
      </c>
      <c r="J24" s="29" t="s">
        <v>542</v>
      </c>
      <c r="K24" s="29">
        <v>5</v>
      </c>
      <c r="L24" s="29">
        <v>2</v>
      </c>
      <c r="M24" s="29">
        <v>37</v>
      </c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spans="1:36">
      <c r="A25" s="29" t="s">
        <v>152</v>
      </c>
      <c r="B25" s="29" t="s">
        <v>63</v>
      </c>
      <c r="C25" s="29" t="s">
        <v>543</v>
      </c>
      <c r="D25" s="29" t="s">
        <v>544</v>
      </c>
      <c r="E25" s="29">
        <v>23</v>
      </c>
      <c r="F25" s="29">
        <v>0.57999999999999996</v>
      </c>
      <c r="G25" s="29" t="s">
        <v>545</v>
      </c>
      <c r="H25" s="29">
        <v>12</v>
      </c>
      <c r="I25" s="29">
        <v>0.35</v>
      </c>
      <c r="J25" s="29" t="s">
        <v>546</v>
      </c>
      <c r="K25" s="29">
        <v>4</v>
      </c>
      <c r="L25" s="29">
        <v>0</v>
      </c>
      <c r="M25" s="29">
        <v>21</v>
      </c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</row>
    <row r="26" spans="1:36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</row>
    <row r="27" spans="1:36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</row>
    <row r="28" spans="1:36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</row>
    <row r="29" spans="1:36">
      <c r="A29" s="29"/>
      <c r="B29" s="29"/>
      <c r="C29" s="29">
        <f>COUNTIF($B$2:$B$26,"Center Back")</f>
        <v>3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</row>
    <row r="30" spans="1:36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</row>
    <row r="31" spans="1:36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</row>
    <row r="32" spans="1:36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</row>
    <row r="33" spans="1:36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</row>
    <row r="34" spans="1:36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</row>
    <row r="35" spans="1:36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</row>
    <row r="36" spans="1:36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</row>
    <row r="37" spans="1:36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</row>
    <row r="38" spans="1:36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</row>
    <row r="39" spans="1:36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</row>
    <row r="40" spans="1:36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</row>
    <row r="41" spans="1:36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</row>
    <row r="42" spans="1:36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</row>
    <row r="43" spans="1:36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</row>
    <row r="44" spans="1:36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</row>
    <row r="45" spans="1:36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</row>
    <row r="46" spans="1:36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</row>
    <row r="47" spans="1:36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</row>
    <row r="48" spans="1:36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</row>
    <row r="49" spans="1:36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</row>
    <row r="50" spans="1:36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</row>
    <row r="51" spans="1:36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</row>
    <row r="52" spans="1:36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</row>
    <row r="53" spans="1:36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</row>
    <row r="54" spans="1:36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</row>
    <row r="55" spans="1:36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</row>
    <row r="56" spans="1:36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</row>
    <row r="57" spans="1:36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</row>
    <row r="58" spans="1:36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</row>
    <row r="59" spans="1:36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</row>
    <row r="60" spans="1:36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</row>
    <row r="61" spans="1:36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</row>
    <row r="62" spans="1:36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</row>
    <row r="63" spans="1:36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</row>
    <row r="64" spans="1:36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</row>
    <row r="65" spans="1:36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</row>
    <row r="66" spans="1:36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</row>
    <row r="67" spans="1:36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</row>
    <row r="68" spans="1:36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</row>
    <row r="69" spans="1:36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</row>
    <row r="70" spans="1:36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</row>
    <row r="71" spans="1:36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</row>
    <row r="72" spans="1:36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</row>
    <row r="73" spans="1:36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</row>
    <row r="74" spans="1:36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</row>
    <row r="75" spans="1:36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</row>
    <row r="76" spans="1:36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</row>
    <row r="77" spans="1:36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</row>
    <row r="78" spans="1:36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</row>
    <row r="79" spans="1:36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</row>
    <row r="80" spans="1:36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</row>
    <row r="81" spans="1:36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</row>
    <row r="82" spans="1:36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</row>
    <row r="83" spans="1:36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</row>
    <row r="84" spans="1:36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</row>
    <row r="85" spans="1:36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</row>
    <row r="86" spans="1:36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</row>
    <row r="87" spans="1:36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</row>
    <row r="88" spans="1:36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</row>
    <row r="89" spans="1:36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</row>
    <row r="90" spans="1:36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</row>
    <row r="91" spans="1:36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</row>
    <row r="92" spans="1:36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</row>
    <row r="93" spans="1:36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</row>
    <row r="94" spans="1:36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</row>
    <row r="95" spans="1:36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</row>
    <row r="96" spans="1:3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</row>
    <row r="97" spans="1:36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</row>
    <row r="98" spans="1:36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</row>
    <row r="99" spans="1:36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</row>
    <row r="100" spans="1:36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</row>
    <row r="101" spans="1:36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</row>
    <row r="102" spans="1:36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</row>
    <row r="103" spans="1:36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</row>
    <row r="104" spans="1:36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</row>
    <row r="105" spans="1:36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</row>
    <row r="106" spans="1:3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</row>
    <row r="107" spans="1:36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</row>
    <row r="108" spans="1:36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</row>
    <row r="109" spans="1:36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</row>
    <row r="110" spans="1:36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</row>
    <row r="111" spans="1:36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</row>
    <row r="112" spans="1:36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</row>
    <row r="113" spans="1:36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</row>
    <row r="114" spans="1:36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</row>
    <row r="115" spans="1:36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</row>
    <row r="116" spans="1:3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</row>
    <row r="117" spans="1:36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</row>
    <row r="118" spans="1:36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</row>
    <row r="119" spans="1:36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</row>
    <row r="120" spans="1:36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</row>
    <row r="121" spans="1:36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</row>
    <row r="122" spans="1:36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</row>
    <row r="123" spans="1:36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</row>
    <row r="124" spans="1:36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</row>
    <row r="125" spans="1:36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</row>
    <row r="126" spans="1:3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</row>
    <row r="127" spans="1:36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</row>
    <row r="128" spans="1:36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</row>
    <row r="129" spans="1:36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</row>
    <row r="130" spans="1:36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</row>
    <row r="131" spans="1:36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</row>
    <row r="132" spans="1:36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</row>
    <row r="133" spans="1:36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</row>
    <row r="134" spans="1:36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</row>
    <row r="135" spans="1:36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</row>
    <row r="136" spans="1:3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</row>
    <row r="137" spans="1:36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</row>
    <row r="138" spans="1:36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</row>
    <row r="139" spans="1:36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</row>
    <row r="140" spans="1:36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</row>
    <row r="141" spans="1:36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</row>
    <row r="142" spans="1:36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</row>
    <row r="143" spans="1:36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</row>
    <row r="144" spans="1:36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</row>
    <row r="145" spans="1:36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</row>
    <row r="146" spans="1:3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</row>
    <row r="147" spans="1:36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</row>
    <row r="148" spans="1:36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</row>
    <row r="149" spans="1:36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</row>
    <row r="150" spans="1:36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</row>
    <row r="151" spans="1:36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</row>
    <row r="152" spans="1:36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</row>
    <row r="153" spans="1:36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</row>
    <row r="154" spans="1:36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</row>
    <row r="155" spans="1:36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</row>
    <row r="156" spans="1:3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</row>
    <row r="157" spans="1:36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</row>
    <row r="158" spans="1:36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</row>
    <row r="159" spans="1:36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</row>
    <row r="160" spans="1:36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</row>
    <row r="161" spans="1:36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</row>
    <row r="162" spans="1:36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</row>
    <row r="163" spans="1:36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</row>
    <row r="164" spans="1:36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</row>
    <row r="165" spans="1:36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</row>
    <row r="166" spans="1:3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</row>
    <row r="167" spans="1:36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</row>
    <row r="168" spans="1:36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</row>
    <row r="169" spans="1:36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</row>
    <row r="170" spans="1:36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</row>
    <row r="171" spans="1:36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</row>
    <row r="172" spans="1:36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</row>
    <row r="173" spans="1:36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</row>
    <row r="174" spans="1:36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</row>
    <row r="175" spans="1:36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</row>
    <row r="176" spans="1:3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</row>
    <row r="177" spans="1:36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</row>
    <row r="178" spans="1:36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</row>
    <row r="179" spans="1:36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</row>
    <row r="180" spans="1:36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</row>
    <row r="181" spans="1:36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</row>
    <row r="182" spans="1:36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</row>
    <row r="183" spans="1:36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</row>
    <row r="184" spans="1:36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</row>
    <row r="185" spans="1:36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</row>
    <row r="186" spans="1:3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</row>
    <row r="187" spans="1:36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</row>
    <row r="188" spans="1:36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</row>
    <row r="189" spans="1:36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</row>
    <row r="190" spans="1:36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</row>
    <row r="191" spans="1:36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</row>
    <row r="192" spans="1:36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</row>
    <row r="193" spans="1:36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</row>
    <row r="194" spans="1:36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</row>
    <row r="195" spans="1:36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</row>
    <row r="196" spans="1:3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</row>
    <row r="197" spans="1:36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</row>
    <row r="198" spans="1:36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</row>
    <row r="199" spans="1:36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</row>
    <row r="200" spans="1:36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</row>
    <row r="201" spans="1:36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</row>
    <row r="202" spans="1:36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</row>
    <row r="203" spans="1:36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</row>
    <row r="204" spans="1:36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</row>
    <row r="205" spans="1:36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</row>
    <row r="206" spans="1:3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</row>
    <row r="207" spans="1:36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</row>
    <row r="208" spans="1:36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</row>
    <row r="209" spans="1:36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</row>
    <row r="210" spans="1:36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</row>
    <row r="211" spans="1:36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</row>
    <row r="212" spans="1:36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</row>
    <row r="213" spans="1:36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</row>
    <row r="214" spans="1:36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</row>
    <row r="215" spans="1:36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</row>
    <row r="216" spans="1:3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</row>
    <row r="217" spans="1:36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</row>
    <row r="218" spans="1:36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</row>
    <row r="219" spans="1:36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</row>
    <row r="220" spans="1:36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</row>
    <row r="221" spans="1:36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</row>
    <row r="222" spans="1:36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</row>
    <row r="223" spans="1:36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</row>
    <row r="224" spans="1:36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</row>
    <row r="225" spans="1:36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</row>
    <row r="226" spans="1:3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</row>
    <row r="227" spans="1:36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</row>
    <row r="228" spans="1:36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</row>
    <row r="229" spans="1:36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</row>
    <row r="230" spans="1:36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</row>
    <row r="231" spans="1:36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</row>
    <row r="232" spans="1:36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</row>
    <row r="233" spans="1:36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</row>
    <row r="234" spans="1:36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</row>
    <row r="235" spans="1:36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</row>
    <row r="236" spans="1: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</row>
    <row r="237" spans="1:36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</row>
    <row r="238" spans="1:36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</row>
    <row r="239" spans="1:36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</row>
    <row r="240" spans="1:36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</row>
    <row r="241" spans="1:36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</row>
    <row r="242" spans="1:36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</row>
    <row r="243" spans="1:36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</row>
    <row r="244" spans="1:36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</row>
    <row r="245" spans="1:36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</row>
    <row r="246" spans="1:3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</row>
    <row r="247" spans="1:36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</row>
    <row r="248" spans="1:36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</row>
    <row r="249" spans="1:36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</row>
    <row r="250" spans="1:36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</row>
    <row r="251" spans="1:36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</row>
    <row r="252" spans="1:36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</row>
    <row r="253" spans="1:36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</row>
    <row r="254" spans="1:36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</row>
    <row r="255" spans="1:36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</row>
    <row r="256" spans="1:3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</row>
    <row r="257" spans="1:36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</row>
    <row r="258" spans="1:36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</row>
    <row r="259" spans="1:36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</row>
    <row r="260" spans="1:36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</row>
    <row r="261" spans="1:36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</row>
    <row r="262" spans="1:36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</row>
    <row r="263" spans="1:36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</row>
    <row r="264" spans="1:36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</row>
    <row r="265" spans="1:36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</row>
    <row r="266" spans="1:3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</row>
    <row r="267" spans="1:36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</row>
    <row r="268" spans="1:36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</row>
    <row r="269" spans="1:36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</row>
    <row r="270" spans="1:36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</row>
    <row r="271" spans="1:36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</row>
    <row r="272" spans="1:36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</row>
    <row r="273" spans="1:36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</row>
    <row r="274" spans="1:36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</row>
    <row r="275" spans="1:36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</row>
    <row r="276" spans="1:3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</row>
    <row r="277" spans="1:36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</row>
    <row r="278" spans="1:36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</row>
    <row r="279" spans="1:36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</row>
    <row r="280" spans="1:36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</row>
    <row r="281" spans="1:36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</row>
    <row r="282" spans="1:36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</row>
    <row r="283" spans="1:36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</row>
    <row r="284" spans="1:36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</row>
    <row r="285" spans="1:36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</row>
    <row r="286" spans="1:3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</row>
    <row r="287" spans="1:36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</row>
    <row r="288" spans="1:36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</row>
    <row r="289" spans="1:36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</row>
    <row r="290" spans="1:36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</row>
    <row r="291" spans="1:36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</row>
    <row r="292" spans="1:36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</row>
    <row r="293" spans="1:36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</row>
    <row r="294" spans="1:36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</row>
    <row r="295" spans="1:36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</row>
    <row r="296" spans="1:3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</row>
    <row r="297" spans="1:36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</row>
    <row r="298" spans="1:36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</row>
    <row r="299" spans="1:36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</row>
    <row r="300" spans="1:36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</row>
    <row r="301" spans="1:36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</row>
    <row r="302" spans="1:36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</row>
    <row r="303" spans="1:36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</row>
    <row r="304" spans="1:36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</row>
    <row r="305" spans="1:36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</row>
    <row r="306" spans="1:3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</row>
    <row r="307" spans="1:36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</row>
    <row r="308" spans="1:36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</row>
    <row r="309" spans="1:36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</row>
    <row r="310" spans="1:36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</row>
    <row r="311" spans="1:36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</row>
    <row r="312" spans="1:36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</row>
    <row r="313" spans="1:36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</row>
    <row r="314" spans="1:36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</row>
    <row r="315" spans="1:36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</row>
    <row r="316" spans="1:3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</row>
    <row r="317" spans="1:36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</row>
    <row r="318" spans="1:36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</row>
    <row r="319" spans="1:36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</row>
    <row r="320" spans="1:36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</row>
    <row r="321" spans="1:36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</row>
    <row r="322" spans="1:36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</row>
    <row r="323" spans="1:36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</row>
    <row r="324" spans="1:36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</row>
    <row r="325" spans="1:36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</row>
    <row r="326" spans="1:3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</row>
    <row r="327" spans="1:36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</row>
    <row r="328" spans="1:36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</row>
    <row r="329" spans="1:36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</row>
    <row r="330" spans="1:36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</row>
    <row r="331" spans="1:36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</row>
    <row r="332" spans="1:36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</row>
    <row r="333" spans="1:36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</row>
    <row r="334" spans="1:36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</row>
    <row r="335" spans="1:36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</row>
    <row r="336" spans="1: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</row>
    <row r="337" spans="1:36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</row>
    <row r="338" spans="1:36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</row>
    <row r="339" spans="1:36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</row>
    <row r="340" spans="1:36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</row>
    <row r="341" spans="1:36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</row>
    <row r="342" spans="1:36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</row>
    <row r="343" spans="1:36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</row>
    <row r="344" spans="1:36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</row>
    <row r="345" spans="1:36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</row>
    <row r="346" spans="1:3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</row>
    <row r="347" spans="1:36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</row>
    <row r="348" spans="1:36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</row>
    <row r="349" spans="1:36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</row>
    <row r="350" spans="1:36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</row>
    <row r="351" spans="1:36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</row>
    <row r="352" spans="1:36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</row>
    <row r="353" spans="1:36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</row>
    <row r="354" spans="1:36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</row>
    <row r="355" spans="1:36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</row>
    <row r="356" spans="1:3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</row>
    <row r="357" spans="1:36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</row>
    <row r="358" spans="1:36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</row>
    <row r="359" spans="1:36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</row>
    <row r="360" spans="1:36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</row>
    <row r="361" spans="1:36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</row>
    <row r="362" spans="1:36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</row>
    <row r="363" spans="1:36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</row>
    <row r="364" spans="1:36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</row>
    <row r="365" spans="1:36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</row>
    <row r="366" spans="1:3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</row>
    <row r="367" spans="1:36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</row>
    <row r="368" spans="1:36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</row>
    <row r="369" spans="1:36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</row>
    <row r="370" spans="1:36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</row>
    <row r="371" spans="1:36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</row>
    <row r="372" spans="1:36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</row>
    <row r="373" spans="1:36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</row>
    <row r="374" spans="1:36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</row>
    <row r="375" spans="1:36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</row>
    <row r="376" spans="1:3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</row>
    <row r="377" spans="1:36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</row>
    <row r="378" spans="1:36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</row>
    <row r="379" spans="1:36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</row>
    <row r="380" spans="1:36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</row>
    <row r="381" spans="1:36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</row>
    <row r="382" spans="1:36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</row>
    <row r="383" spans="1:36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</row>
    <row r="384" spans="1:36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</row>
    <row r="385" spans="1:36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</row>
    <row r="386" spans="1:3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</row>
    <row r="387" spans="1:36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</row>
    <row r="388" spans="1:36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</row>
    <row r="389" spans="1:36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</row>
    <row r="390" spans="1:36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</row>
    <row r="391" spans="1:36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</row>
    <row r="392" spans="1:36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</row>
    <row r="393" spans="1:36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</row>
    <row r="394" spans="1:36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</row>
    <row r="395" spans="1:36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</row>
    <row r="396" spans="1:3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</row>
    <row r="397" spans="1:36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</row>
    <row r="398" spans="1:36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</row>
    <row r="399" spans="1:36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</row>
    <row r="400" spans="1:36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</row>
    <row r="401" spans="1:36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</row>
    <row r="402" spans="1:36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</row>
    <row r="403" spans="1:36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</row>
    <row r="404" spans="1:36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</row>
    <row r="405" spans="1:36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</row>
    <row r="406" spans="1:3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</row>
    <row r="407" spans="1:36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</row>
    <row r="408" spans="1:36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</row>
    <row r="409" spans="1:36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</row>
    <row r="410" spans="1:36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</row>
    <row r="411" spans="1:36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</row>
    <row r="412" spans="1:36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</row>
    <row r="413" spans="1:36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</row>
    <row r="414" spans="1:36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</row>
    <row r="415" spans="1:36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</row>
    <row r="416" spans="1:3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</row>
    <row r="417" spans="1:36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</row>
    <row r="418" spans="1:36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</row>
    <row r="419" spans="1:36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</row>
    <row r="420" spans="1:36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</row>
    <row r="421" spans="1:36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</row>
    <row r="422" spans="1:36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</row>
    <row r="423" spans="1:36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</row>
    <row r="424" spans="1:36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</row>
    <row r="425" spans="1:36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</row>
    <row r="426" spans="1:3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</row>
    <row r="427" spans="1:36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</row>
    <row r="428" spans="1:36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</row>
    <row r="429" spans="1:36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</row>
    <row r="430" spans="1:36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</row>
    <row r="431" spans="1:36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</row>
    <row r="432" spans="1:36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</row>
    <row r="433" spans="1:36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</row>
    <row r="434" spans="1:36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</row>
    <row r="435" spans="1:36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</row>
    <row r="436" spans="1: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</row>
    <row r="437" spans="1:36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</row>
    <row r="438" spans="1:36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</row>
    <row r="439" spans="1:36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</row>
    <row r="440" spans="1:36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</row>
    <row r="441" spans="1:36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</row>
    <row r="442" spans="1:36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</row>
    <row r="443" spans="1:36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</row>
    <row r="444" spans="1:36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</row>
    <row r="445" spans="1:36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</row>
    <row r="446" spans="1:3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</row>
    <row r="447" spans="1:36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</row>
    <row r="448" spans="1:36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</row>
    <row r="449" spans="1:36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</row>
    <row r="450" spans="1:36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</row>
    <row r="451" spans="1:36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</row>
    <row r="452" spans="1:36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</row>
    <row r="453" spans="1:36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</row>
    <row r="454" spans="1:36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</row>
    <row r="455" spans="1:36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</row>
    <row r="456" spans="1:3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</row>
    <row r="457" spans="1:36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</row>
    <row r="458" spans="1:36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</row>
    <row r="459" spans="1:36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</row>
    <row r="460" spans="1:36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</row>
    <row r="461" spans="1:36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</row>
    <row r="462" spans="1:36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</row>
    <row r="463" spans="1:36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</row>
    <row r="464" spans="1:36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</row>
    <row r="465" spans="1:36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</row>
    <row r="466" spans="1:3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</row>
    <row r="467" spans="1:36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</row>
    <row r="468" spans="1:36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</row>
    <row r="469" spans="1:36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</row>
    <row r="470" spans="1:36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</row>
    <row r="471" spans="1:36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</row>
    <row r="472" spans="1:36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</row>
    <row r="473" spans="1:36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</row>
    <row r="474" spans="1:36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</row>
    <row r="475" spans="1:36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</row>
    <row r="476" spans="1:3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</row>
    <row r="477" spans="1:36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</row>
    <row r="478" spans="1:36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</row>
    <row r="479" spans="1:36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</row>
    <row r="480" spans="1:36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</row>
    <row r="481" spans="1:36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</row>
    <row r="482" spans="1:36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</row>
    <row r="483" spans="1:36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</row>
    <row r="484" spans="1:36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</row>
    <row r="485" spans="1:36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</row>
    <row r="486" spans="1:3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</row>
    <row r="487" spans="1:36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</row>
    <row r="488" spans="1:36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</row>
    <row r="489" spans="1:36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</row>
    <row r="490" spans="1:36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</row>
    <row r="491" spans="1:36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</row>
    <row r="492" spans="1:36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</row>
    <row r="493" spans="1:36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</row>
    <row r="494" spans="1:36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</row>
    <row r="495" spans="1:36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</row>
    <row r="496" spans="1:3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</row>
    <row r="497" spans="1:36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</row>
    <row r="498" spans="1:36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</row>
    <row r="499" spans="1:36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</row>
    <row r="500" spans="1:36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</row>
    <row r="501" spans="1:36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</row>
    <row r="502" spans="1:36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</row>
    <row r="503" spans="1:36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</row>
    <row r="504" spans="1:36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</row>
    <row r="505" spans="1:36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</row>
    <row r="506" spans="1:3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</row>
    <row r="507" spans="1:36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</row>
    <row r="508" spans="1:36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</row>
    <row r="509" spans="1:36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</row>
    <row r="510" spans="1:36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</row>
    <row r="511" spans="1:36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</row>
    <row r="512" spans="1:36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</row>
    <row r="513" spans="1:36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</row>
    <row r="514" spans="1:36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</row>
    <row r="515" spans="1:36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</row>
    <row r="516" spans="1:3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</row>
    <row r="517" spans="1:36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</row>
    <row r="518" spans="1:36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</row>
    <row r="519" spans="1:36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</row>
    <row r="520" spans="1:36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</row>
    <row r="521" spans="1:36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</row>
    <row r="522" spans="1:36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</row>
    <row r="523" spans="1:36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</row>
    <row r="524" spans="1:36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</row>
    <row r="525" spans="1:36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</row>
    <row r="526" spans="1:3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</row>
    <row r="527" spans="1:36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</row>
    <row r="528" spans="1:36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</row>
    <row r="529" spans="1:36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</row>
    <row r="530" spans="1:36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</row>
    <row r="531" spans="1:36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</row>
    <row r="532" spans="1:36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</row>
    <row r="533" spans="1:36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</row>
    <row r="534" spans="1:36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</row>
    <row r="535" spans="1:36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</row>
    <row r="536" spans="1: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</row>
    <row r="537" spans="1:36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</row>
    <row r="538" spans="1:36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</row>
    <row r="539" spans="1:36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</row>
    <row r="540" spans="1:36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</row>
    <row r="541" spans="1:36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</row>
    <row r="542" spans="1:36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</row>
    <row r="543" spans="1:36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</row>
    <row r="544" spans="1:36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</row>
    <row r="545" spans="1:36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</row>
    <row r="546" spans="1:3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</row>
    <row r="547" spans="1:36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29"/>
    </row>
    <row r="548" spans="1:36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</row>
    <row r="549" spans="1:36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</row>
    <row r="550" spans="1:36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</row>
    <row r="551" spans="1:36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</row>
    <row r="552" spans="1:36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</row>
    <row r="553" spans="1:36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</row>
    <row r="554" spans="1:36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</row>
    <row r="555" spans="1:36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</row>
    <row r="556" spans="1:3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</row>
    <row r="557" spans="1:36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</row>
    <row r="558" spans="1:36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</row>
    <row r="559" spans="1:36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</row>
    <row r="560" spans="1:36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</row>
    <row r="561" spans="1:36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</row>
    <row r="562" spans="1:36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</row>
    <row r="563" spans="1:36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29"/>
    </row>
    <row r="564" spans="1:36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</row>
    <row r="565" spans="1:36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</row>
    <row r="566" spans="1:3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29"/>
    </row>
    <row r="567" spans="1:36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29"/>
    </row>
    <row r="568" spans="1:36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29"/>
    </row>
    <row r="569" spans="1:36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</row>
    <row r="570" spans="1:36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29"/>
    </row>
    <row r="571" spans="1:36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29"/>
    </row>
    <row r="572" spans="1:36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29"/>
    </row>
    <row r="573" spans="1:36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</row>
    <row r="574" spans="1:36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</row>
    <row r="575" spans="1:36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</row>
    <row r="576" spans="1:3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</row>
    <row r="577" spans="1:36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</row>
    <row r="578" spans="1:36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</row>
    <row r="579" spans="1:36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29"/>
    </row>
    <row r="580" spans="1:36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29"/>
    </row>
    <row r="581" spans="1:36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29"/>
    </row>
    <row r="582" spans="1:36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</row>
    <row r="583" spans="1:36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</row>
    <row r="584" spans="1:36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</row>
    <row r="585" spans="1:36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</row>
    <row r="586" spans="1:3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</row>
    <row r="587" spans="1:36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</row>
    <row r="588" spans="1:36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29"/>
    </row>
    <row r="589" spans="1:36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</row>
    <row r="590" spans="1:36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29"/>
    </row>
    <row r="591" spans="1:36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29"/>
    </row>
    <row r="592" spans="1:36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</row>
    <row r="593" spans="1:36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</row>
    <row r="594" spans="1:36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</row>
    <row r="595" spans="1:36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</row>
    <row r="596" spans="1:3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</row>
    <row r="597" spans="1:36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</row>
    <row r="598" spans="1:36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29"/>
    </row>
    <row r="599" spans="1:36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</row>
    <row r="600" spans="1:36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</row>
    <row r="601" spans="1:36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</row>
    <row r="602" spans="1:36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</row>
    <row r="603" spans="1:36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</row>
    <row r="604" spans="1:36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</row>
    <row r="605" spans="1:36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</row>
    <row r="606" spans="1:3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</row>
    <row r="607" spans="1:36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</row>
    <row r="608" spans="1:36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29"/>
    </row>
    <row r="609" spans="1:36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</row>
    <row r="610" spans="1:36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</row>
    <row r="611" spans="1:36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</row>
    <row r="612" spans="1:36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</row>
    <row r="613" spans="1:36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</row>
    <row r="614" spans="1:36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</row>
    <row r="615" spans="1:36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</row>
    <row r="616" spans="1:3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</row>
    <row r="617" spans="1:36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</row>
    <row r="618" spans="1:36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</row>
    <row r="619" spans="1:36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</row>
    <row r="620" spans="1:36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</row>
    <row r="621" spans="1:36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</row>
    <row r="622" spans="1:36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</row>
    <row r="623" spans="1:36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</row>
    <row r="624" spans="1:36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</row>
    <row r="625" spans="1:36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</row>
    <row r="626" spans="1:3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</row>
    <row r="627" spans="1:36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</row>
    <row r="628" spans="1:36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</row>
    <row r="629" spans="1:36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</row>
    <row r="630" spans="1:36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</row>
    <row r="631" spans="1:36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</row>
    <row r="632" spans="1:36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</row>
    <row r="633" spans="1:36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</row>
    <row r="634" spans="1:36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</row>
    <row r="635" spans="1:36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</row>
    <row r="636" spans="1: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J636" s="29"/>
    </row>
    <row r="637" spans="1:36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</row>
    <row r="638" spans="1:36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</row>
    <row r="639" spans="1:36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</row>
    <row r="640" spans="1:36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</row>
    <row r="641" spans="1:36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</row>
    <row r="642" spans="1:36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</row>
    <row r="643" spans="1:36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</row>
    <row r="644" spans="1:36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</row>
    <row r="645" spans="1:36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</row>
    <row r="646" spans="1:3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</row>
    <row r="647" spans="1:36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</row>
    <row r="648" spans="1:36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</row>
    <row r="649" spans="1:36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</row>
    <row r="650" spans="1:36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</row>
    <row r="651" spans="1:36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</row>
    <row r="652" spans="1:36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</row>
    <row r="653" spans="1:36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</row>
    <row r="654" spans="1:36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</row>
    <row r="655" spans="1:36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</row>
    <row r="656" spans="1:3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</row>
    <row r="657" spans="1:36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</row>
    <row r="658" spans="1:36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</row>
    <row r="659" spans="1:36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</row>
    <row r="660" spans="1:36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</row>
    <row r="661" spans="1:36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</row>
    <row r="662" spans="1:36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</row>
    <row r="663" spans="1:36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</row>
    <row r="664" spans="1:36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</row>
    <row r="665" spans="1:36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</row>
    <row r="666" spans="1:3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</row>
    <row r="667" spans="1:36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  <c r="AJ667" s="29"/>
    </row>
    <row r="668" spans="1:36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</row>
    <row r="669" spans="1:36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</row>
    <row r="670" spans="1:36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</row>
    <row r="671" spans="1:36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J671" s="29"/>
    </row>
    <row r="672" spans="1:36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</row>
    <row r="673" spans="1:36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</row>
    <row r="674" spans="1:36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</row>
    <row r="675" spans="1:36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</row>
    <row r="676" spans="1:3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</row>
    <row r="677" spans="1:36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</row>
    <row r="678" spans="1:36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</row>
    <row r="679" spans="1:36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</row>
    <row r="680" spans="1:36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</row>
    <row r="681" spans="1:36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</row>
    <row r="682" spans="1:36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</row>
    <row r="683" spans="1:36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J683" s="29"/>
    </row>
    <row r="684" spans="1:36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J684" s="29"/>
    </row>
    <row r="685" spans="1:36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</row>
    <row r="686" spans="1:3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</row>
    <row r="687" spans="1:36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</row>
    <row r="688" spans="1:36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</row>
    <row r="689" spans="1:36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</row>
    <row r="690" spans="1:36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</row>
    <row r="691" spans="1:36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  <c r="AJ691" s="29"/>
    </row>
    <row r="692" spans="1:36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  <c r="AJ692" s="29"/>
    </row>
    <row r="693" spans="1:36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</row>
    <row r="694" spans="1:36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  <c r="AJ694" s="29"/>
    </row>
    <row r="695" spans="1:36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  <c r="AJ695" s="29"/>
    </row>
    <row r="696" spans="1:3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  <c r="AJ696" s="29"/>
    </row>
    <row r="697" spans="1:36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  <c r="AJ697" s="29"/>
    </row>
    <row r="698" spans="1:36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  <c r="AJ698" s="29"/>
    </row>
    <row r="699" spans="1:36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  <c r="AJ699" s="29"/>
    </row>
    <row r="700" spans="1:36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  <c r="AJ700" s="29"/>
    </row>
    <row r="701" spans="1:36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  <c r="AJ701" s="29"/>
    </row>
    <row r="702" spans="1:36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  <c r="AJ702" s="29"/>
    </row>
    <row r="703" spans="1:36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  <c r="AJ703" s="29"/>
    </row>
    <row r="704" spans="1:36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  <c r="AJ704" s="29"/>
    </row>
    <row r="705" spans="1:36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  <c r="AJ705" s="29"/>
    </row>
    <row r="706" spans="1:3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  <c r="AJ706" s="29"/>
    </row>
    <row r="707" spans="1:36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</row>
    <row r="708" spans="1:36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  <c r="AJ708" s="29"/>
    </row>
    <row r="709" spans="1:36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/>
    </row>
    <row r="710" spans="1:36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</row>
    <row r="711" spans="1:36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  <c r="AJ711" s="29"/>
    </row>
    <row r="712" spans="1:36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  <c r="AJ712" s="29"/>
    </row>
    <row r="713" spans="1:36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</row>
    <row r="714" spans="1:36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J714" s="29"/>
    </row>
    <row r="715" spans="1:36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  <c r="AJ715" s="29"/>
    </row>
    <row r="716" spans="1:3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  <c r="AJ716" s="29"/>
    </row>
    <row r="717" spans="1:36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J717" s="29"/>
    </row>
    <row r="718" spans="1:36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  <c r="AJ718" s="29"/>
    </row>
    <row r="719" spans="1:36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  <c r="AJ719" s="29"/>
    </row>
    <row r="720" spans="1:36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  <c r="AJ720" s="29"/>
    </row>
    <row r="721" spans="1:36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  <c r="AJ721" s="29"/>
    </row>
    <row r="722" spans="1:36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  <c r="AJ722" s="29"/>
    </row>
    <row r="723" spans="1:36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  <c r="AJ723" s="29"/>
    </row>
    <row r="724" spans="1:36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  <c r="AJ724" s="29"/>
    </row>
    <row r="725" spans="1:36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</row>
    <row r="726" spans="1:3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  <c r="AJ726" s="29"/>
    </row>
    <row r="727" spans="1:36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  <c r="AJ727" s="29"/>
    </row>
    <row r="728" spans="1:36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  <c r="AJ728" s="29"/>
    </row>
    <row r="729" spans="1:36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</row>
    <row r="730" spans="1:36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  <c r="AJ730" s="29"/>
    </row>
    <row r="731" spans="1:36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  <c r="AJ731" s="29"/>
    </row>
    <row r="732" spans="1:36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  <c r="AJ732" s="29"/>
    </row>
    <row r="733" spans="1:36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  <c r="AJ733" s="29"/>
    </row>
    <row r="734" spans="1:36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  <c r="AJ734" s="29"/>
    </row>
    <row r="735" spans="1:36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  <c r="AJ735" s="29"/>
    </row>
    <row r="736" spans="1: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  <c r="AJ736" s="29"/>
    </row>
    <row r="737" spans="1:36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  <c r="AJ737" s="29"/>
    </row>
    <row r="738" spans="1:36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  <c r="AJ738" s="29"/>
    </row>
    <row r="739" spans="1:36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  <c r="AJ739" s="29"/>
    </row>
    <row r="740" spans="1:36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</row>
    <row r="741" spans="1:36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</row>
    <row r="742" spans="1:36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</row>
    <row r="743" spans="1:36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  <c r="AJ743" s="29"/>
    </row>
    <row r="744" spans="1:36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  <c r="AJ744" s="29"/>
    </row>
    <row r="745" spans="1:36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</row>
    <row r="746" spans="1:3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</row>
    <row r="747" spans="1:36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</row>
    <row r="748" spans="1:36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</row>
    <row r="749" spans="1:36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</row>
    <row r="750" spans="1:36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  <c r="AJ750" s="29"/>
    </row>
    <row r="751" spans="1:36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</row>
    <row r="752" spans="1:36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  <c r="AH752" s="29"/>
      <c r="AI752" s="29"/>
      <c r="AJ752" s="29"/>
    </row>
    <row r="753" spans="1:36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  <c r="AI753" s="29"/>
      <c r="AJ753" s="29"/>
    </row>
    <row r="754" spans="1:36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  <c r="AH754" s="29"/>
      <c r="AI754" s="29"/>
      <c r="AJ754" s="29"/>
    </row>
    <row r="755" spans="1:36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  <c r="AH755" s="29"/>
      <c r="AI755" s="29"/>
      <c r="AJ755" s="29"/>
    </row>
    <row r="756" spans="1:3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  <c r="AH756" s="29"/>
      <c r="AI756" s="29"/>
      <c r="AJ756" s="29"/>
    </row>
    <row r="757" spans="1:36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  <c r="AI757" s="29"/>
      <c r="AJ757" s="29"/>
    </row>
    <row r="758" spans="1:36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  <c r="AH758" s="29"/>
      <c r="AI758" s="29"/>
      <c r="AJ758" s="29"/>
    </row>
    <row r="759" spans="1:36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  <c r="AI759" s="29"/>
      <c r="AJ759" s="29"/>
    </row>
    <row r="760" spans="1:36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  <c r="AH760" s="29"/>
      <c r="AI760" s="29"/>
      <c r="AJ760" s="29"/>
    </row>
    <row r="761" spans="1:36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  <c r="AI761" s="29"/>
      <c r="AJ761" s="29"/>
    </row>
    <row r="762" spans="1:36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  <c r="AH762" s="29"/>
      <c r="AI762" s="29"/>
      <c r="AJ762" s="29"/>
    </row>
    <row r="763" spans="1:36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  <c r="AH763" s="29"/>
      <c r="AI763" s="29"/>
      <c r="AJ763" s="29"/>
    </row>
    <row r="764" spans="1:36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  <c r="AH764" s="29"/>
      <c r="AI764" s="29"/>
      <c r="AJ764" s="29"/>
    </row>
    <row r="765" spans="1:36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  <c r="AI765" s="29"/>
      <c r="AJ765" s="29"/>
    </row>
    <row r="766" spans="1:3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  <c r="AI766" s="29"/>
      <c r="AJ766" s="29"/>
    </row>
    <row r="767" spans="1:36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  <c r="AI767" s="29"/>
      <c r="AJ767" s="29"/>
    </row>
    <row r="768" spans="1:36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  <c r="AH768" s="29"/>
      <c r="AI768" s="29"/>
      <c r="AJ768" s="29"/>
    </row>
    <row r="769" spans="1:36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  <c r="AH769" s="29"/>
      <c r="AI769" s="29"/>
      <c r="AJ769" s="29"/>
    </row>
    <row r="770" spans="1:36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  <c r="AH770" s="29"/>
      <c r="AI770" s="29"/>
      <c r="AJ770" s="29"/>
    </row>
    <row r="771" spans="1:36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  <c r="AI771" s="29"/>
      <c r="AJ771" s="29"/>
    </row>
    <row r="772" spans="1:36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  <c r="AH772" s="29"/>
      <c r="AI772" s="29"/>
      <c r="AJ772" s="29"/>
    </row>
    <row r="773" spans="1:36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  <c r="AH773" s="29"/>
      <c r="AI773" s="29"/>
      <c r="AJ773" s="29"/>
    </row>
    <row r="774" spans="1:36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  <c r="AH774" s="29"/>
      <c r="AI774" s="29"/>
      <c r="AJ774" s="29"/>
    </row>
    <row r="775" spans="1:36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  <c r="AH775" s="29"/>
      <c r="AI775" s="29"/>
      <c r="AJ775" s="29"/>
    </row>
    <row r="776" spans="1:3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  <c r="AH776" s="29"/>
      <c r="AI776" s="29"/>
      <c r="AJ776" s="29"/>
    </row>
    <row r="777" spans="1:36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  <c r="AH777" s="29"/>
      <c r="AI777" s="29"/>
      <c r="AJ777" s="29"/>
    </row>
    <row r="778" spans="1:36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  <c r="AH778" s="29"/>
      <c r="AI778" s="29"/>
      <c r="AJ778" s="29"/>
    </row>
    <row r="779" spans="1:36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  <c r="AH779" s="29"/>
      <c r="AI779" s="29"/>
      <c r="AJ779" s="29"/>
    </row>
    <row r="780" spans="1:36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  <c r="AI780" s="29"/>
      <c r="AJ780" s="29"/>
    </row>
    <row r="781" spans="1:36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  <c r="AI781" s="29"/>
      <c r="AJ781" s="29"/>
    </row>
    <row r="782" spans="1:36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  <c r="AH782" s="29"/>
      <c r="AI782" s="29"/>
      <c r="AJ782" s="29"/>
    </row>
    <row r="783" spans="1:36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</row>
    <row r="784" spans="1:36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  <c r="AH784" s="29"/>
      <c r="AI784" s="29"/>
      <c r="AJ784" s="29"/>
    </row>
    <row r="785" spans="1:36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  <c r="AI785" s="29"/>
      <c r="AJ785" s="29"/>
    </row>
    <row r="786" spans="1:3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</row>
    <row r="787" spans="1:36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  <c r="AH787" s="29"/>
      <c r="AI787" s="29"/>
      <c r="AJ787" s="29"/>
    </row>
    <row r="788" spans="1:36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  <c r="AI788" s="29"/>
      <c r="AJ788" s="29"/>
    </row>
    <row r="789" spans="1:36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</row>
    <row r="790" spans="1:36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  <c r="AH790" s="29"/>
      <c r="AI790" s="29"/>
      <c r="AJ790" s="29"/>
    </row>
    <row r="791" spans="1:36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  <c r="AH791" s="29"/>
      <c r="AI791" s="29"/>
      <c r="AJ791" s="29"/>
    </row>
    <row r="792" spans="1:36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  <c r="AH792" s="29"/>
      <c r="AI792" s="29"/>
      <c r="AJ792" s="29"/>
    </row>
    <row r="793" spans="1:36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  <c r="AH793" s="29"/>
      <c r="AI793" s="29"/>
      <c r="AJ793" s="29"/>
    </row>
    <row r="794" spans="1:36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  <c r="AH794" s="29"/>
      <c r="AI794" s="29"/>
      <c r="AJ794" s="29"/>
    </row>
    <row r="795" spans="1:36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  <c r="AH795" s="29"/>
      <c r="AI795" s="29"/>
      <c r="AJ795" s="29"/>
    </row>
    <row r="796" spans="1:3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  <c r="AH796" s="29"/>
      <c r="AI796" s="29"/>
      <c r="AJ796" s="29"/>
    </row>
    <row r="797" spans="1:36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  <c r="AH797" s="29"/>
      <c r="AI797" s="29"/>
      <c r="AJ797" s="29"/>
    </row>
    <row r="798" spans="1:36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  <c r="AH798" s="29"/>
      <c r="AI798" s="29"/>
      <c r="AJ798" s="29"/>
    </row>
    <row r="799" spans="1:36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  <c r="AI799" s="29"/>
      <c r="AJ799" s="29"/>
    </row>
    <row r="800" spans="1:36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  <c r="AH800" s="29"/>
      <c r="AI800" s="29"/>
      <c r="AJ800" s="29"/>
    </row>
    <row r="801" spans="1:36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  <c r="AH801" s="29"/>
      <c r="AI801" s="29"/>
      <c r="AJ801" s="29"/>
    </row>
    <row r="802" spans="1:36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  <c r="AH802" s="29"/>
      <c r="AI802" s="29"/>
      <c r="AJ802" s="29"/>
    </row>
    <row r="803" spans="1:36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  <c r="AH803" s="29"/>
      <c r="AI803" s="29"/>
      <c r="AJ803" s="29"/>
    </row>
    <row r="804" spans="1:36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  <c r="AH804" s="29"/>
      <c r="AI804" s="29"/>
      <c r="AJ804" s="29"/>
    </row>
    <row r="805" spans="1:36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  <c r="AH805" s="29"/>
      <c r="AI805" s="29"/>
      <c r="AJ805" s="29"/>
    </row>
    <row r="806" spans="1:3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  <c r="AH806" s="29"/>
      <c r="AI806" s="29"/>
      <c r="AJ806" s="29"/>
    </row>
    <row r="807" spans="1:36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  <c r="AH807" s="29"/>
      <c r="AI807" s="29"/>
      <c r="AJ807" s="29"/>
    </row>
    <row r="808" spans="1:36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  <c r="AH808" s="29"/>
      <c r="AI808" s="29"/>
      <c r="AJ808" s="29"/>
    </row>
    <row r="809" spans="1:36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  <c r="AH809" s="29"/>
      <c r="AI809" s="29"/>
      <c r="AJ809" s="29"/>
    </row>
    <row r="810" spans="1:36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  <c r="AH810" s="29"/>
      <c r="AI810" s="29"/>
      <c r="AJ810" s="29"/>
    </row>
    <row r="811" spans="1:36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  <c r="AH811" s="29"/>
      <c r="AI811" s="29"/>
      <c r="AJ811" s="29"/>
    </row>
    <row r="812" spans="1:36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  <c r="AH812" s="29"/>
      <c r="AI812" s="29"/>
      <c r="AJ812" s="29"/>
    </row>
    <row r="813" spans="1:36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  <c r="AH813" s="29"/>
      <c r="AI813" s="29"/>
      <c r="AJ813" s="29"/>
    </row>
    <row r="814" spans="1:36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  <c r="AH814" s="29"/>
      <c r="AI814" s="29"/>
      <c r="AJ814" s="29"/>
    </row>
    <row r="815" spans="1:36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  <c r="AH815" s="29"/>
      <c r="AI815" s="29"/>
      <c r="AJ815" s="29"/>
    </row>
    <row r="816" spans="1:3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  <c r="AH816" s="29"/>
      <c r="AI816" s="29"/>
      <c r="AJ816" s="29"/>
    </row>
    <row r="817" spans="1:36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  <c r="AH817" s="29"/>
      <c r="AI817" s="29"/>
      <c r="AJ817" s="29"/>
    </row>
    <row r="818" spans="1:36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  <c r="AH818" s="29"/>
      <c r="AI818" s="29"/>
      <c r="AJ818" s="29"/>
    </row>
    <row r="819" spans="1:36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  <c r="AH819" s="29"/>
      <c r="AI819" s="29"/>
      <c r="AJ819" s="29"/>
    </row>
    <row r="820" spans="1:36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  <c r="AH820" s="29"/>
      <c r="AI820" s="29"/>
      <c r="AJ820" s="29"/>
    </row>
    <row r="821" spans="1:36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</row>
    <row r="822" spans="1:36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  <c r="AH822" s="29"/>
      <c r="AI822" s="29"/>
      <c r="AJ822" s="29"/>
    </row>
    <row r="823" spans="1:36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  <c r="AH823" s="29"/>
      <c r="AI823" s="29"/>
      <c r="AJ823" s="29"/>
    </row>
    <row r="824" spans="1:36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</row>
    <row r="825" spans="1:36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  <c r="AH825" s="29"/>
      <c r="AI825" s="29"/>
      <c r="AJ825" s="29"/>
    </row>
    <row r="826" spans="1:3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  <c r="AH826" s="29"/>
      <c r="AI826" s="29"/>
      <c r="AJ826" s="29"/>
    </row>
    <row r="827" spans="1:36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  <c r="AJ827" s="29"/>
    </row>
    <row r="828" spans="1:36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  <c r="AH828" s="29"/>
      <c r="AI828" s="29"/>
      <c r="AJ828" s="29"/>
    </row>
    <row r="829" spans="1:36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  <c r="AH829" s="29"/>
      <c r="AI829" s="29"/>
      <c r="AJ829" s="29"/>
    </row>
    <row r="830" spans="1:36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  <c r="AH830" s="29"/>
      <c r="AI830" s="29"/>
      <c r="AJ830" s="29"/>
    </row>
    <row r="831" spans="1:36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  <c r="AH831" s="29"/>
      <c r="AI831" s="29"/>
      <c r="AJ831" s="29"/>
    </row>
    <row r="832" spans="1:36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  <c r="AH832" s="29"/>
      <c r="AI832" s="29"/>
      <c r="AJ832" s="29"/>
    </row>
    <row r="833" spans="1:36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  <c r="AH833" s="29"/>
      <c r="AI833" s="29"/>
      <c r="AJ833" s="29"/>
    </row>
    <row r="834" spans="1:36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  <c r="AH834" s="29"/>
      <c r="AI834" s="29"/>
      <c r="AJ834" s="29"/>
    </row>
    <row r="835" spans="1:36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  <c r="AH835" s="29"/>
      <c r="AI835" s="29"/>
      <c r="AJ835" s="29"/>
    </row>
    <row r="836" spans="1: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  <c r="AH836" s="29"/>
      <c r="AI836" s="29"/>
      <c r="AJ836" s="29"/>
    </row>
    <row r="837" spans="1:36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  <c r="AH837" s="29"/>
      <c r="AI837" s="29"/>
      <c r="AJ837" s="29"/>
    </row>
    <row r="838" spans="1:36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  <c r="AH838" s="29"/>
      <c r="AI838" s="29"/>
      <c r="AJ838" s="29"/>
    </row>
    <row r="839" spans="1:36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  <c r="AH839" s="29"/>
      <c r="AI839" s="29"/>
      <c r="AJ839" s="29"/>
    </row>
    <row r="840" spans="1:36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  <c r="AH840" s="29"/>
      <c r="AI840" s="29"/>
      <c r="AJ840" s="29"/>
    </row>
    <row r="841" spans="1:36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  <c r="AH841" s="29"/>
      <c r="AI841" s="29"/>
      <c r="AJ841" s="29"/>
    </row>
    <row r="842" spans="1:36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  <c r="AH842" s="29"/>
      <c r="AI842" s="29"/>
      <c r="AJ842" s="29"/>
    </row>
    <row r="843" spans="1:36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  <c r="AH843" s="29"/>
      <c r="AI843" s="29"/>
      <c r="AJ843" s="29"/>
    </row>
    <row r="844" spans="1:36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  <c r="AH844" s="29"/>
      <c r="AI844" s="29"/>
      <c r="AJ844" s="29"/>
    </row>
    <row r="845" spans="1:36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  <c r="AH845" s="29"/>
      <c r="AI845" s="29"/>
      <c r="AJ845" s="29"/>
    </row>
    <row r="846" spans="1:3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  <c r="AH846" s="29"/>
      <c r="AI846" s="29"/>
      <c r="AJ846" s="29"/>
    </row>
    <row r="847" spans="1:36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  <c r="AH847" s="29"/>
      <c r="AI847" s="29"/>
      <c r="AJ847" s="29"/>
    </row>
    <row r="848" spans="1:36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  <c r="AH848" s="29"/>
      <c r="AI848" s="29"/>
      <c r="AJ848" s="29"/>
    </row>
    <row r="849" spans="1:36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  <c r="AH849" s="29"/>
      <c r="AI849" s="29"/>
      <c r="AJ849" s="29"/>
    </row>
    <row r="850" spans="1:36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  <c r="AH850" s="29"/>
      <c r="AI850" s="29"/>
      <c r="AJ850" s="29"/>
    </row>
    <row r="851" spans="1:36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  <c r="AH851" s="29"/>
      <c r="AI851" s="29"/>
      <c r="AJ851" s="29"/>
    </row>
    <row r="852" spans="1:36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  <c r="AH852" s="29"/>
      <c r="AI852" s="29"/>
      <c r="AJ852" s="29"/>
    </row>
    <row r="853" spans="1:36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  <c r="AH853" s="29"/>
      <c r="AI853" s="29"/>
      <c r="AJ853" s="29"/>
    </row>
    <row r="854" spans="1:36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  <c r="AH854" s="29"/>
      <c r="AI854" s="29"/>
      <c r="AJ854" s="29"/>
    </row>
    <row r="855" spans="1:36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  <c r="AH855" s="29"/>
      <c r="AI855" s="29"/>
      <c r="AJ855" s="29"/>
    </row>
    <row r="856" spans="1:3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  <c r="AH856" s="29"/>
      <c r="AI856" s="29"/>
      <c r="AJ856" s="29"/>
    </row>
    <row r="857" spans="1:36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  <c r="AH857" s="29"/>
      <c r="AI857" s="29"/>
      <c r="AJ857" s="29"/>
    </row>
    <row r="858" spans="1:36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29"/>
      <c r="AH858" s="29"/>
      <c r="AI858" s="29"/>
      <c r="AJ858" s="29"/>
    </row>
    <row r="859" spans="1:36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</row>
    <row r="860" spans="1:36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29"/>
      <c r="AH860" s="29"/>
      <c r="AI860" s="29"/>
      <c r="AJ860" s="29"/>
    </row>
    <row r="861" spans="1:36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29"/>
      <c r="AH861" s="29"/>
      <c r="AI861" s="29"/>
      <c r="AJ861" s="29"/>
    </row>
    <row r="862" spans="1:36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  <c r="AJ862" s="29"/>
    </row>
    <row r="863" spans="1:36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  <c r="AH863" s="29"/>
      <c r="AI863" s="29"/>
      <c r="AJ863" s="29"/>
    </row>
    <row r="864" spans="1:36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  <c r="AH864" s="29"/>
      <c r="AI864" s="29"/>
      <c r="AJ864" s="29"/>
    </row>
    <row r="865" spans="1:36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  <c r="AJ865" s="29"/>
    </row>
    <row r="866" spans="1:3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29"/>
      <c r="AH866" s="29"/>
      <c r="AI866" s="29"/>
      <c r="AJ866" s="29"/>
    </row>
    <row r="867" spans="1:36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  <c r="AH867" s="29"/>
      <c r="AI867" s="29"/>
      <c r="AJ867" s="29"/>
    </row>
    <row r="868" spans="1:36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29"/>
      <c r="AH868" s="29"/>
      <c r="AI868" s="29"/>
      <c r="AJ868" s="29"/>
    </row>
    <row r="869" spans="1:36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29"/>
      <c r="AH869" s="29"/>
      <c r="AI869" s="29"/>
      <c r="AJ869" s="29"/>
    </row>
    <row r="870" spans="1:36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  <c r="AH870" s="29"/>
      <c r="AI870" s="29"/>
      <c r="AJ870" s="29"/>
    </row>
    <row r="871" spans="1:36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29"/>
      <c r="AH871" s="29"/>
      <c r="AI871" s="29"/>
      <c r="AJ871" s="29"/>
    </row>
    <row r="872" spans="1:36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29"/>
      <c r="AH872" s="29"/>
      <c r="AI872" s="29"/>
      <c r="AJ872" s="29"/>
    </row>
    <row r="873" spans="1:36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29"/>
      <c r="AH873" s="29"/>
      <c r="AI873" s="29"/>
      <c r="AJ873" s="29"/>
    </row>
    <row r="874" spans="1:36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29"/>
      <c r="AH874" s="29"/>
      <c r="AI874" s="29"/>
      <c r="AJ874" s="29"/>
    </row>
    <row r="875" spans="1:36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  <c r="AH875" s="29"/>
      <c r="AI875" s="29"/>
      <c r="AJ875" s="29"/>
    </row>
    <row r="876" spans="1:3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  <c r="AH876" s="29"/>
      <c r="AI876" s="29"/>
      <c r="AJ876" s="29"/>
    </row>
    <row r="877" spans="1:36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29"/>
      <c r="AH877" s="29"/>
      <c r="AI877" s="29"/>
      <c r="AJ877" s="29"/>
    </row>
    <row r="878" spans="1:36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29"/>
      <c r="AH878" s="29"/>
      <c r="AI878" s="29"/>
      <c r="AJ878" s="29"/>
    </row>
    <row r="879" spans="1:36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  <c r="AH879" s="29"/>
      <c r="AI879" s="29"/>
      <c r="AJ879" s="29"/>
    </row>
    <row r="880" spans="1:36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29"/>
      <c r="AH880" s="29"/>
      <c r="AI880" s="29"/>
      <c r="AJ880" s="29"/>
    </row>
    <row r="881" spans="1:36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  <c r="AH881" s="29"/>
      <c r="AI881" s="29"/>
      <c r="AJ881" s="29"/>
    </row>
    <row r="882" spans="1:36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  <c r="AH882" s="29"/>
      <c r="AI882" s="29"/>
      <c r="AJ882" s="29"/>
    </row>
    <row r="883" spans="1:36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  <c r="AH883" s="29"/>
      <c r="AI883" s="29"/>
      <c r="AJ883" s="29"/>
    </row>
    <row r="884" spans="1:36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  <c r="AH884" s="29"/>
      <c r="AI884" s="29"/>
      <c r="AJ884" s="29"/>
    </row>
    <row r="885" spans="1:36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  <c r="AH885" s="29"/>
      <c r="AI885" s="29"/>
      <c r="AJ885" s="29"/>
    </row>
    <row r="886" spans="1:3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  <c r="AH886" s="29"/>
      <c r="AI886" s="29"/>
      <c r="AJ886" s="29"/>
    </row>
    <row r="887" spans="1:36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  <c r="AH887" s="29"/>
      <c r="AI887" s="29"/>
      <c r="AJ887" s="29"/>
    </row>
    <row r="888" spans="1:36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  <c r="AH888" s="29"/>
      <c r="AI888" s="29"/>
      <c r="AJ888" s="29"/>
    </row>
    <row r="889" spans="1:36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  <c r="AH889" s="29"/>
      <c r="AI889" s="29"/>
      <c r="AJ889" s="29"/>
    </row>
    <row r="890" spans="1:36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29"/>
      <c r="AH890" s="29"/>
      <c r="AI890" s="29"/>
      <c r="AJ890" s="29"/>
    </row>
    <row r="891" spans="1:36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29"/>
      <c r="AH891" s="29"/>
      <c r="AI891" s="29"/>
      <c r="AJ891" s="29"/>
    </row>
    <row r="892" spans="1:36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29"/>
      <c r="AH892" s="29"/>
      <c r="AI892" s="29"/>
      <c r="AJ892" s="29"/>
    </row>
    <row r="893" spans="1:36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29"/>
      <c r="AH893" s="29"/>
      <c r="AI893" s="29"/>
      <c r="AJ893" s="29"/>
    </row>
    <row r="894" spans="1:36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29"/>
      <c r="AH894" s="29"/>
      <c r="AI894" s="29"/>
      <c r="AJ894" s="29"/>
    </row>
    <row r="895" spans="1:36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29"/>
      <c r="AH895" s="29"/>
      <c r="AI895" s="29"/>
      <c r="AJ895" s="29"/>
    </row>
    <row r="896" spans="1:3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29"/>
      <c r="AH896" s="29"/>
      <c r="AI896" s="29"/>
      <c r="AJ896" s="29"/>
    </row>
    <row r="897" spans="1:36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</row>
    <row r="898" spans="1:36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  <c r="AH898" s="29"/>
      <c r="AI898" s="29"/>
      <c r="AJ898" s="29"/>
    </row>
    <row r="899" spans="1:36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29"/>
      <c r="AH899" s="29"/>
      <c r="AI899" s="29"/>
      <c r="AJ899" s="29"/>
    </row>
    <row r="900" spans="1:36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  <c r="AJ900" s="29"/>
    </row>
    <row r="901" spans="1:36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29"/>
      <c r="AH901" s="29"/>
      <c r="AI901" s="29"/>
      <c r="AJ901" s="29"/>
    </row>
    <row r="902" spans="1:36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  <c r="AH902" s="29"/>
      <c r="AI902" s="29"/>
      <c r="AJ902" s="29"/>
    </row>
    <row r="903" spans="1:36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29"/>
      <c r="AH903" s="29"/>
      <c r="AI903" s="29"/>
      <c r="AJ903" s="29"/>
    </row>
    <row r="904" spans="1:36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  <c r="AH904" s="29"/>
      <c r="AI904" s="29"/>
      <c r="AJ904" s="29"/>
    </row>
    <row r="905" spans="1:36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29"/>
      <c r="AH905" s="29"/>
      <c r="AI905" s="29"/>
      <c r="AJ905" s="29"/>
    </row>
    <row r="906" spans="1:3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29"/>
      <c r="AH906" s="29"/>
      <c r="AI906" s="29"/>
      <c r="AJ906" s="29"/>
    </row>
    <row r="907" spans="1:36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  <c r="AH907" s="29"/>
      <c r="AI907" s="29"/>
      <c r="AJ907" s="29"/>
    </row>
    <row r="908" spans="1:36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  <c r="AG908" s="29"/>
      <c r="AH908" s="29"/>
      <c r="AI908" s="29"/>
      <c r="AJ908" s="29"/>
    </row>
    <row r="909" spans="1:36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  <c r="AG909" s="29"/>
      <c r="AH909" s="29"/>
      <c r="AI909" s="29"/>
      <c r="AJ909" s="29"/>
    </row>
    <row r="910" spans="1:36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  <c r="AG910" s="29"/>
      <c r="AH910" s="29"/>
      <c r="AI910" s="29"/>
      <c r="AJ910" s="29"/>
    </row>
    <row r="911" spans="1:36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  <c r="AG911" s="29"/>
      <c r="AH911" s="29"/>
      <c r="AI911" s="29"/>
      <c r="AJ911" s="29"/>
    </row>
    <row r="912" spans="1:36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29"/>
      <c r="AH912" s="29"/>
      <c r="AI912" s="29"/>
      <c r="AJ912" s="29"/>
    </row>
    <row r="913" spans="1:36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29"/>
      <c r="AH913" s="29"/>
      <c r="AI913" s="29"/>
      <c r="AJ913" s="29"/>
    </row>
    <row r="914" spans="1:36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29"/>
      <c r="AH914" s="29"/>
      <c r="AI914" s="29"/>
      <c r="AJ914" s="29"/>
    </row>
    <row r="915" spans="1:36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29"/>
      <c r="AH915" s="29"/>
      <c r="AI915" s="29"/>
      <c r="AJ915" s="29"/>
    </row>
    <row r="916" spans="1:3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  <c r="AG916" s="29"/>
      <c r="AH916" s="29"/>
      <c r="AI916" s="29"/>
      <c r="AJ916" s="29"/>
    </row>
    <row r="917" spans="1:36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29"/>
      <c r="AH917" s="29"/>
      <c r="AI917" s="29"/>
      <c r="AJ917" s="29"/>
    </row>
    <row r="918" spans="1:36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29"/>
      <c r="AH918" s="29"/>
      <c r="AI918" s="29"/>
      <c r="AJ918" s="29"/>
    </row>
    <row r="919" spans="1:36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29"/>
      <c r="AH919" s="29"/>
      <c r="AI919" s="29"/>
      <c r="AJ919" s="29"/>
    </row>
    <row r="920" spans="1:36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29"/>
      <c r="AH920" s="29"/>
      <c r="AI920" s="29"/>
      <c r="AJ920" s="29"/>
    </row>
    <row r="921" spans="1:36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  <c r="AH921" s="29"/>
      <c r="AI921" s="29"/>
      <c r="AJ921" s="29"/>
    </row>
    <row r="922" spans="1:36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29"/>
      <c r="AH922" s="29"/>
      <c r="AI922" s="29"/>
      <c r="AJ922" s="29"/>
    </row>
    <row r="923" spans="1:36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  <c r="AG923" s="29"/>
      <c r="AH923" s="29"/>
      <c r="AI923" s="29"/>
      <c r="AJ923" s="29"/>
    </row>
    <row r="924" spans="1:36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29"/>
      <c r="AH924" s="29"/>
      <c r="AI924" s="29"/>
      <c r="AJ924" s="29"/>
    </row>
    <row r="925" spans="1:36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29"/>
      <c r="AH925" s="29"/>
      <c r="AI925" s="29"/>
      <c r="AJ925" s="29"/>
    </row>
    <row r="926" spans="1:3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29"/>
      <c r="AH926" s="29"/>
      <c r="AI926" s="29"/>
      <c r="AJ926" s="29"/>
    </row>
    <row r="927" spans="1:36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  <c r="AG927" s="29"/>
      <c r="AH927" s="29"/>
      <c r="AI927" s="29"/>
      <c r="AJ927" s="29"/>
    </row>
    <row r="928" spans="1:36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29"/>
      <c r="AH928" s="29"/>
      <c r="AI928" s="29"/>
      <c r="AJ928" s="29"/>
    </row>
    <row r="929" spans="1:36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29"/>
      <c r="AH929" s="29"/>
      <c r="AI929" s="29"/>
      <c r="AJ929" s="29"/>
    </row>
    <row r="930" spans="1:36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  <c r="AH930" s="29"/>
      <c r="AI930" s="29"/>
      <c r="AJ930" s="29"/>
    </row>
    <row r="931" spans="1:36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29"/>
      <c r="AH931" s="29"/>
      <c r="AI931" s="29"/>
      <c r="AJ931" s="29"/>
    </row>
    <row r="932" spans="1:36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29"/>
      <c r="AH932" s="29"/>
      <c r="AI932" s="29"/>
      <c r="AJ932" s="29"/>
    </row>
    <row r="933" spans="1:36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29"/>
      <c r="AH933" s="29"/>
      <c r="AI933" s="29"/>
      <c r="AJ933" s="29"/>
    </row>
    <row r="934" spans="1:36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29"/>
      <c r="AH934" s="29"/>
      <c r="AI934" s="29"/>
      <c r="AJ934" s="29"/>
    </row>
    <row r="935" spans="1:36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</row>
    <row r="936" spans="1: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29"/>
      <c r="AH936" s="29"/>
      <c r="AI936" s="29"/>
      <c r="AJ936" s="29"/>
    </row>
    <row r="937" spans="1:36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29"/>
      <c r="AH937" s="29"/>
      <c r="AI937" s="29"/>
      <c r="AJ937" s="29"/>
    </row>
    <row r="938" spans="1:36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29"/>
      <c r="AH938" s="29"/>
      <c r="AI938" s="29"/>
      <c r="AJ938" s="29"/>
    </row>
    <row r="939" spans="1:36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29"/>
      <c r="AH939" s="29"/>
      <c r="AI939" s="29"/>
      <c r="AJ939" s="29"/>
    </row>
    <row r="940" spans="1:36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29"/>
      <c r="AH940" s="29"/>
      <c r="AI940" s="29"/>
      <c r="AJ940" s="29"/>
    </row>
    <row r="941" spans="1:36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  <c r="AG941" s="29"/>
      <c r="AH941" s="29"/>
      <c r="AI941" s="29"/>
      <c r="AJ941" s="29"/>
    </row>
    <row r="942" spans="1:36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  <c r="AH942" s="29"/>
      <c r="AI942" s="29"/>
      <c r="AJ942" s="29"/>
    </row>
    <row r="943" spans="1:36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29"/>
      <c r="AH943" s="29"/>
      <c r="AI943" s="29"/>
      <c r="AJ943" s="29"/>
    </row>
    <row r="944" spans="1:36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29"/>
      <c r="AH944" s="29"/>
      <c r="AI944" s="29"/>
      <c r="AJ944" s="29"/>
    </row>
    <row r="945" spans="1:36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29"/>
      <c r="AH945" s="29"/>
      <c r="AI945" s="29"/>
      <c r="AJ945" s="29"/>
    </row>
    <row r="946" spans="1:3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29"/>
      <c r="AH946" s="29"/>
      <c r="AI946" s="29"/>
      <c r="AJ946" s="29"/>
    </row>
    <row r="947" spans="1:36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29"/>
      <c r="AH947" s="29"/>
      <c r="AI947" s="29"/>
      <c r="AJ947" s="29"/>
    </row>
    <row r="948" spans="1:36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29"/>
      <c r="AH948" s="29"/>
      <c r="AI948" s="29"/>
      <c r="AJ948" s="29"/>
    </row>
    <row r="949" spans="1:36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29"/>
      <c r="AH949" s="29"/>
      <c r="AI949" s="29"/>
      <c r="AJ949" s="29"/>
    </row>
    <row r="950" spans="1:36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29"/>
      <c r="AH950" s="29"/>
      <c r="AI950" s="29"/>
      <c r="AJ950" s="29"/>
    </row>
    <row r="951" spans="1:36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29"/>
      <c r="AH951" s="29"/>
      <c r="AI951" s="29"/>
      <c r="AJ951" s="29"/>
    </row>
    <row r="952" spans="1:36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29"/>
      <c r="AH952" s="29"/>
      <c r="AI952" s="29"/>
      <c r="AJ952" s="29"/>
    </row>
    <row r="953" spans="1:36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29"/>
      <c r="AH953" s="29"/>
      <c r="AI953" s="29"/>
      <c r="AJ953" s="29"/>
    </row>
    <row r="954" spans="1:36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29"/>
      <c r="AH954" s="29"/>
      <c r="AI954" s="29"/>
      <c r="AJ954" s="29"/>
    </row>
    <row r="955" spans="1:36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29"/>
      <c r="AH955" s="29"/>
      <c r="AI955" s="29"/>
      <c r="AJ955" s="29"/>
    </row>
    <row r="956" spans="1:3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29"/>
      <c r="AH956" s="29"/>
      <c r="AI956" s="29"/>
      <c r="AJ956" s="29"/>
    </row>
    <row r="957" spans="1:36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29"/>
      <c r="AH957" s="29"/>
      <c r="AI957" s="29"/>
      <c r="AJ957" s="29"/>
    </row>
    <row r="958" spans="1:36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29"/>
      <c r="AH958" s="29"/>
      <c r="AI958" s="29"/>
      <c r="AJ958" s="29"/>
    </row>
    <row r="959" spans="1:36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29"/>
      <c r="AH959" s="29"/>
      <c r="AI959" s="29"/>
      <c r="AJ959" s="29"/>
    </row>
    <row r="960" spans="1:36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29"/>
      <c r="AH960" s="29"/>
      <c r="AI960" s="29"/>
      <c r="AJ960" s="29"/>
    </row>
    <row r="961" spans="1:36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  <c r="AG961" s="29"/>
      <c r="AH961" s="29"/>
      <c r="AI961" s="29"/>
      <c r="AJ961" s="29"/>
    </row>
    <row r="962" spans="1:36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  <c r="AG962" s="29"/>
      <c r="AH962" s="29"/>
      <c r="AI962" s="29"/>
      <c r="AJ962" s="29"/>
    </row>
    <row r="963" spans="1:36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29"/>
      <c r="AH963" s="29"/>
      <c r="AI963" s="29"/>
      <c r="AJ963" s="29"/>
    </row>
    <row r="964" spans="1:36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29"/>
      <c r="AH964" s="29"/>
      <c r="AI964" s="29"/>
      <c r="AJ964" s="29"/>
    </row>
    <row r="965" spans="1:36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29"/>
      <c r="AH965" s="29"/>
      <c r="AI965" s="29"/>
      <c r="AJ965" s="29"/>
    </row>
    <row r="966" spans="1:3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29"/>
      <c r="AH966" s="29"/>
      <c r="AI966" s="29"/>
      <c r="AJ966" s="29"/>
    </row>
    <row r="967" spans="1:36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  <c r="AG967" s="29"/>
      <c r="AH967" s="29"/>
      <c r="AI967" s="29"/>
      <c r="AJ967" s="29"/>
    </row>
    <row r="968" spans="1:36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29"/>
      <c r="AH968" s="29"/>
      <c r="AI968" s="29"/>
      <c r="AJ968" s="29"/>
    </row>
    <row r="969" spans="1:36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  <c r="AG969" s="29"/>
      <c r="AH969" s="29"/>
      <c r="AI969" s="29"/>
      <c r="AJ969" s="29"/>
    </row>
    <row r="970" spans="1:36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  <c r="AG970" s="29"/>
      <c r="AH970" s="29"/>
      <c r="AI970" s="29"/>
      <c r="AJ970" s="29"/>
    </row>
    <row r="971" spans="1:36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  <c r="AG971" s="29"/>
      <c r="AH971" s="29"/>
      <c r="AI971" s="29"/>
      <c r="AJ971" s="29"/>
    </row>
    <row r="972" spans="1:36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F972" s="29"/>
      <c r="AG972" s="29"/>
      <c r="AH972" s="29"/>
      <c r="AI972" s="29"/>
      <c r="AJ972" s="29"/>
    </row>
    <row r="973" spans="1:36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</row>
    <row r="974" spans="1:36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  <c r="AG974" s="29"/>
      <c r="AH974" s="29"/>
      <c r="AI974" s="29"/>
      <c r="AJ974" s="29"/>
    </row>
    <row r="975" spans="1:36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  <c r="AG975" s="29"/>
      <c r="AH975" s="29"/>
      <c r="AI975" s="29"/>
      <c r="AJ975" s="29"/>
    </row>
    <row r="976" spans="1:3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F976" s="29"/>
      <c r="AG976" s="29"/>
      <c r="AH976" s="29"/>
      <c r="AI976" s="29"/>
      <c r="AJ976" s="29"/>
    </row>
    <row r="977" spans="1:36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  <c r="AG977" s="29"/>
      <c r="AH977" s="29"/>
      <c r="AI977" s="29"/>
      <c r="AJ977" s="29"/>
    </row>
    <row r="978" spans="1:36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  <c r="AF978" s="29"/>
      <c r="AG978" s="29"/>
      <c r="AH978" s="29"/>
      <c r="AI978" s="29"/>
      <c r="AJ978" s="29"/>
    </row>
    <row r="979" spans="1:36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29"/>
      <c r="AG979" s="29"/>
      <c r="AH979" s="29"/>
      <c r="AI979" s="29"/>
      <c r="AJ979" s="29"/>
    </row>
    <row r="980" spans="1:36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29"/>
      <c r="AG980" s="29"/>
      <c r="AH980" s="29"/>
      <c r="AI980" s="29"/>
      <c r="AJ980" s="29"/>
    </row>
    <row r="981" spans="1:36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  <c r="AF981" s="29"/>
      <c r="AG981" s="29"/>
      <c r="AH981" s="29"/>
      <c r="AI981" s="29"/>
      <c r="AJ981" s="29"/>
    </row>
    <row r="982" spans="1:36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  <c r="AF982" s="29"/>
      <c r="AG982" s="29"/>
      <c r="AH982" s="29"/>
      <c r="AI982" s="29"/>
      <c r="AJ982" s="29"/>
    </row>
    <row r="983" spans="1:36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F983" s="29"/>
      <c r="AG983" s="29"/>
      <c r="AH983" s="29"/>
      <c r="AI983" s="29"/>
      <c r="AJ983" s="29"/>
    </row>
    <row r="984" spans="1:36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  <c r="AF984" s="29"/>
      <c r="AG984" s="29"/>
      <c r="AH984" s="29"/>
      <c r="AI984" s="29"/>
      <c r="AJ984" s="29"/>
    </row>
    <row r="985" spans="1:36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  <c r="AF985" s="29"/>
      <c r="AG985" s="29"/>
      <c r="AH985" s="29"/>
      <c r="AI985" s="29"/>
      <c r="AJ985" s="29"/>
    </row>
    <row r="986" spans="1:3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  <c r="AF986" s="29"/>
      <c r="AG986" s="29"/>
      <c r="AH986" s="29"/>
      <c r="AI986" s="29"/>
      <c r="AJ986" s="29"/>
    </row>
    <row r="987" spans="1:36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F987" s="29"/>
      <c r="AG987" s="29"/>
      <c r="AH987" s="29"/>
      <c r="AI987" s="29"/>
      <c r="AJ987" s="29"/>
    </row>
    <row r="988" spans="1:36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  <c r="AF988" s="29"/>
      <c r="AG988" s="29"/>
      <c r="AH988" s="29"/>
      <c r="AI988" s="29"/>
      <c r="AJ988" s="29"/>
    </row>
    <row r="989" spans="1:36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F989" s="29"/>
      <c r="AG989" s="29"/>
      <c r="AH989" s="29"/>
      <c r="AI989" s="29"/>
      <c r="AJ989" s="29"/>
    </row>
    <row r="990" spans="1:36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  <c r="AG990" s="29"/>
      <c r="AH990" s="29"/>
      <c r="AI990" s="29"/>
      <c r="AJ990" s="29"/>
    </row>
    <row r="991" spans="1:36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  <c r="AG991" s="29"/>
      <c r="AH991" s="29"/>
      <c r="AI991" s="29"/>
      <c r="AJ991" s="29"/>
    </row>
    <row r="992" spans="1:36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  <c r="AG992" s="29"/>
      <c r="AH992" s="29"/>
      <c r="AI992" s="29"/>
      <c r="AJ992" s="29"/>
    </row>
    <row r="993" spans="1:36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  <c r="AF993" s="29"/>
      <c r="AG993" s="29"/>
      <c r="AH993" s="29"/>
      <c r="AI993" s="29"/>
      <c r="AJ993" s="29"/>
    </row>
    <row r="994" spans="1:36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  <c r="AF994" s="29"/>
      <c r="AG994" s="29"/>
      <c r="AH994" s="29"/>
      <c r="AI994" s="29"/>
      <c r="AJ994" s="29"/>
    </row>
    <row r="995" spans="1:36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9"/>
      <c r="AF995" s="29"/>
      <c r="AG995" s="29"/>
      <c r="AH995" s="29"/>
      <c r="AI995" s="29"/>
      <c r="AJ995" s="29"/>
    </row>
    <row r="996" spans="1:36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  <c r="AE996" s="29"/>
      <c r="AF996" s="29"/>
      <c r="AG996" s="29"/>
      <c r="AH996" s="29"/>
      <c r="AI996" s="29"/>
      <c r="AJ996" s="29"/>
    </row>
    <row r="997" spans="1:36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  <c r="AE997" s="29"/>
      <c r="AF997" s="29"/>
      <c r="AG997" s="29"/>
      <c r="AH997" s="29"/>
      <c r="AI997" s="29"/>
      <c r="AJ997" s="29"/>
    </row>
    <row r="998" spans="1:36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  <c r="AE998" s="29"/>
      <c r="AF998" s="29"/>
      <c r="AG998" s="29"/>
      <c r="AH998" s="29"/>
      <c r="AI998" s="29"/>
      <c r="AJ998" s="29"/>
    </row>
    <row r="999" spans="1:36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  <c r="AE999" s="29"/>
      <c r="AF999" s="29"/>
      <c r="AG999" s="29"/>
      <c r="AH999" s="29"/>
      <c r="AI999" s="29"/>
      <c r="AJ999" s="29"/>
    </row>
    <row r="1000" spans="1:36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  <c r="AC1000" s="29"/>
      <c r="AD1000" s="29"/>
      <c r="AE1000" s="29"/>
      <c r="AF1000" s="29"/>
      <c r="AG1000" s="29"/>
      <c r="AH1000" s="29"/>
      <c r="AI1000" s="29"/>
      <c r="AJ1000" s="29"/>
    </row>
    <row r="1001" spans="1:36">
      <c r="A1001" s="29"/>
      <c r="B1001" s="29"/>
      <c r="C1001" s="29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  <c r="AA1001" s="29"/>
      <c r="AB1001" s="29"/>
      <c r="AC1001" s="29"/>
      <c r="AD1001" s="29"/>
      <c r="AE1001" s="29"/>
      <c r="AF1001" s="29"/>
      <c r="AG1001" s="29"/>
      <c r="AH1001" s="29"/>
      <c r="AI1001" s="29"/>
      <c r="AJ1001" s="29"/>
    </row>
    <row r="1002" spans="1:36">
      <c r="A1002" s="29"/>
      <c r="B1002" s="29"/>
      <c r="C1002" s="29"/>
      <c r="D1002" s="29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  <c r="AA1002" s="29"/>
      <c r="AB1002" s="29"/>
      <c r="AC1002" s="29"/>
      <c r="AD1002" s="29"/>
      <c r="AE1002" s="29"/>
      <c r="AF1002" s="29"/>
      <c r="AG1002" s="29"/>
      <c r="AH1002" s="29"/>
      <c r="AI1002" s="29"/>
      <c r="AJ1002" s="29"/>
    </row>
    <row r="1003" spans="1:36">
      <c r="A1003" s="29"/>
      <c r="B1003" s="29"/>
      <c r="C1003" s="29"/>
      <c r="D1003" s="29"/>
      <c r="E1003" s="29"/>
      <c r="F1003" s="29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  <c r="AA1003" s="29"/>
      <c r="AB1003" s="29"/>
      <c r="AC1003" s="29"/>
      <c r="AD1003" s="29"/>
      <c r="AE1003" s="29"/>
      <c r="AF1003" s="29"/>
      <c r="AG1003" s="29"/>
      <c r="AH1003" s="29"/>
      <c r="AI1003" s="29"/>
      <c r="AJ1003" s="29"/>
    </row>
    <row r="1004" spans="1:36">
      <c r="A1004" s="29"/>
      <c r="B1004" s="29"/>
      <c r="C1004" s="29"/>
      <c r="D1004" s="29"/>
      <c r="E1004" s="29"/>
      <c r="F1004" s="29"/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  <c r="Z1004" s="29"/>
      <c r="AA1004" s="29"/>
      <c r="AB1004" s="29"/>
      <c r="AC1004" s="29"/>
      <c r="AD1004" s="29"/>
      <c r="AE1004" s="29"/>
      <c r="AF1004" s="29"/>
      <c r="AG1004" s="29"/>
      <c r="AH1004" s="29"/>
      <c r="AI1004" s="29"/>
      <c r="AJ1004" s="29"/>
    </row>
    <row r="1005" spans="1:36">
      <c r="A1005" s="29"/>
      <c r="B1005" s="29"/>
      <c r="C1005" s="29"/>
      <c r="D1005" s="29"/>
      <c r="E1005" s="29"/>
      <c r="F1005" s="29"/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  <c r="Z1005" s="29"/>
      <c r="AA1005" s="29"/>
      <c r="AB1005" s="29"/>
      <c r="AC1005" s="29"/>
      <c r="AD1005" s="29"/>
      <c r="AE1005" s="29"/>
      <c r="AF1005" s="29"/>
      <c r="AG1005" s="29"/>
      <c r="AH1005" s="29"/>
      <c r="AI1005" s="29"/>
      <c r="AJ1005" s="29"/>
    </row>
    <row r="1006" spans="1:36">
      <c r="A1006" s="29"/>
      <c r="B1006" s="29"/>
      <c r="C1006" s="29"/>
      <c r="D1006" s="29"/>
      <c r="E1006" s="29"/>
      <c r="F1006" s="29"/>
      <c r="G1006" s="29"/>
      <c r="H1006" s="29"/>
      <c r="I1006" s="29"/>
      <c r="J1006" s="29"/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  <c r="Z1006" s="29"/>
      <c r="AA1006" s="29"/>
      <c r="AB1006" s="29"/>
      <c r="AC1006" s="29"/>
      <c r="AD1006" s="29"/>
      <c r="AE1006" s="29"/>
      <c r="AF1006" s="29"/>
      <c r="AG1006" s="29"/>
      <c r="AH1006" s="29"/>
      <c r="AI1006" s="29"/>
      <c r="AJ1006" s="29"/>
    </row>
    <row r="1007" spans="1:36">
      <c r="A1007" s="29"/>
      <c r="B1007" s="29"/>
      <c r="C1007" s="29"/>
      <c r="D1007" s="29"/>
      <c r="E1007" s="29"/>
      <c r="F1007" s="29"/>
      <c r="G1007" s="29"/>
      <c r="H1007" s="29"/>
      <c r="I1007" s="29"/>
      <c r="J1007" s="29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  <c r="Z1007" s="29"/>
      <c r="AA1007" s="29"/>
      <c r="AB1007" s="29"/>
      <c r="AC1007" s="29"/>
      <c r="AD1007" s="29"/>
      <c r="AE1007" s="29"/>
      <c r="AF1007" s="29"/>
      <c r="AG1007" s="29"/>
      <c r="AH1007" s="29"/>
      <c r="AI1007" s="29"/>
      <c r="AJ1007" s="29"/>
    </row>
    <row r="1008" spans="1:36">
      <c r="A1008" s="29"/>
      <c r="B1008" s="29"/>
      <c r="C1008" s="29"/>
      <c r="D1008" s="29"/>
      <c r="E1008" s="29"/>
      <c r="F1008" s="29"/>
      <c r="G1008" s="29"/>
      <c r="H1008" s="29"/>
      <c r="I1008" s="29"/>
      <c r="J1008" s="29"/>
      <c r="K1008" s="29"/>
      <c r="L1008" s="29"/>
      <c r="M1008" s="29"/>
      <c r="N1008" s="29"/>
      <c r="O1008" s="29"/>
      <c r="P1008" s="29"/>
      <c r="Q1008" s="29"/>
      <c r="R1008" s="29"/>
      <c r="S1008" s="29"/>
      <c r="T1008" s="29"/>
      <c r="U1008" s="29"/>
      <c r="V1008" s="29"/>
      <c r="W1008" s="29"/>
      <c r="X1008" s="29"/>
      <c r="Y1008" s="29"/>
      <c r="Z1008" s="29"/>
      <c r="AA1008" s="29"/>
      <c r="AB1008" s="29"/>
      <c r="AC1008" s="29"/>
      <c r="AD1008" s="29"/>
      <c r="AE1008" s="29"/>
      <c r="AF1008" s="29"/>
      <c r="AG1008" s="29"/>
      <c r="AH1008" s="29"/>
      <c r="AI1008" s="29"/>
      <c r="AJ1008" s="29"/>
    </row>
    <row r="1009" spans="1:36">
      <c r="A1009" s="29"/>
      <c r="B1009" s="29"/>
      <c r="C1009" s="29"/>
      <c r="D1009" s="29"/>
      <c r="E1009" s="29"/>
      <c r="F1009" s="29"/>
      <c r="G1009" s="29"/>
      <c r="H1009" s="29"/>
      <c r="I1009" s="29"/>
      <c r="J1009" s="29"/>
      <c r="K1009" s="29"/>
      <c r="L1009" s="29"/>
      <c r="M1009" s="29"/>
      <c r="N1009" s="29"/>
      <c r="O1009" s="29"/>
      <c r="P1009" s="29"/>
      <c r="Q1009" s="29"/>
      <c r="R1009" s="29"/>
      <c r="S1009" s="29"/>
      <c r="T1009" s="29"/>
      <c r="U1009" s="29"/>
      <c r="V1009" s="29"/>
      <c r="W1009" s="29"/>
      <c r="X1009" s="29"/>
      <c r="Y1009" s="29"/>
      <c r="Z1009" s="29"/>
      <c r="AA1009" s="29"/>
      <c r="AB1009" s="29"/>
      <c r="AC1009" s="29"/>
      <c r="AD1009" s="29"/>
      <c r="AE1009" s="29"/>
      <c r="AF1009" s="29"/>
      <c r="AG1009" s="29"/>
      <c r="AH1009" s="29"/>
      <c r="AI1009" s="29"/>
      <c r="AJ1009" s="29"/>
    </row>
    <row r="1010" spans="1:36">
      <c r="A1010" s="29"/>
      <c r="B1010" s="29"/>
      <c r="C1010" s="29"/>
      <c r="D1010" s="29"/>
      <c r="E1010" s="29"/>
      <c r="F1010" s="29"/>
      <c r="G1010" s="29"/>
      <c r="H1010" s="29"/>
      <c r="I1010" s="29"/>
      <c r="J1010" s="29"/>
      <c r="K1010" s="29"/>
      <c r="L1010" s="29"/>
      <c r="M1010" s="29"/>
      <c r="N1010" s="29"/>
      <c r="O1010" s="29"/>
      <c r="P1010" s="29"/>
      <c r="Q1010" s="29"/>
      <c r="R1010" s="29"/>
      <c r="S1010" s="29"/>
      <c r="T1010" s="29"/>
      <c r="U1010" s="29"/>
      <c r="V1010" s="29"/>
      <c r="W1010" s="29"/>
      <c r="X1010" s="29"/>
      <c r="Y1010" s="29"/>
      <c r="Z1010" s="29"/>
      <c r="AA1010" s="29"/>
      <c r="AB1010" s="29"/>
      <c r="AC1010" s="29"/>
      <c r="AD1010" s="29"/>
      <c r="AE1010" s="29"/>
      <c r="AF1010" s="29"/>
      <c r="AG1010" s="29"/>
      <c r="AH1010" s="29"/>
      <c r="AI1010" s="29"/>
      <c r="AJ1010" s="29"/>
    </row>
    <row r="1011" spans="1:36">
      <c r="A1011" s="29"/>
      <c r="B1011" s="29"/>
      <c r="C1011" s="29"/>
      <c r="D1011" s="29"/>
      <c r="E1011" s="29"/>
      <c r="F1011" s="29"/>
      <c r="G1011" s="29"/>
      <c r="H1011" s="29"/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/>
      <c r="U1011" s="29"/>
      <c r="V1011" s="29"/>
      <c r="W1011" s="29"/>
      <c r="X1011" s="29"/>
      <c r="Y1011" s="29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</row>
    <row r="1012" spans="1:36">
      <c r="A1012" s="29"/>
      <c r="B1012" s="29"/>
      <c r="C1012" s="29"/>
      <c r="D1012" s="29"/>
      <c r="E1012" s="29"/>
      <c r="F1012" s="29"/>
      <c r="G1012" s="29"/>
      <c r="H1012" s="29"/>
      <c r="I1012" s="29"/>
      <c r="J1012" s="29"/>
      <c r="K1012" s="29"/>
      <c r="L1012" s="29"/>
      <c r="M1012" s="29"/>
      <c r="N1012" s="29"/>
      <c r="O1012" s="29"/>
      <c r="P1012" s="29"/>
      <c r="Q1012" s="29"/>
      <c r="R1012" s="29"/>
      <c r="S1012" s="29"/>
      <c r="T1012" s="29"/>
      <c r="U1012" s="29"/>
      <c r="V1012" s="29"/>
      <c r="W1012" s="29"/>
      <c r="X1012" s="29"/>
      <c r="Y1012" s="29"/>
      <c r="Z1012" s="29"/>
      <c r="AA1012" s="29"/>
      <c r="AB1012" s="29"/>
      <c r="AC1012" s="29"/>
      <c r="AD1012" s="29"/>
      <c r="AE1012" s="29"/>
      <c r="AF1012" s="29"/>
      <c r="AG1012" s="29"/>
      <c r="AH1012" s="29"/>
      <c r="AI1012" s="29"/>
      <c r="AJ1012" s="29"/>
    </row>
    <row r="1013" spans="1:36">
      <c r="A1013" s="29"/>
      <c r="B1013" s="29"/>
      <c r="C1013" s="29"/>
      <c r="D1013" s="29"/>
      <c r="E1013" s="29"/>
      <c r="F1013" s="29"/>
      <c r="G1013" s="29"/>
      <c r="H1013" s="29"/>
      <c r="I1013" s="29"/>
      <c r="J1013" s="29"/>
      <c r="K1013" s="29"/>
      <c r="L1013" s="29"/>
      <c r="M1013" s="29"/>
      <c r="N1013" s="29"/>
      <c r="O1013" s="29"/>
      <c r="P1013" s="29"/>
      <c r="Q1013" s="29"/>
      <c r="R1013" s="29"/>
      <c r="S1013" s="29"/>
      <c r="T1013" s="29"/>
      <c r="U1013" s="29"/>
      <c r="V1013" s="29"/>
      <c r="W1013" s="29"/>
      <c r="X1013" s="29"/>
      <c r="Y1013" s="29"/>
      <c r="Z1013" s="29"/>
      <c r="AA1013" s="29"/>
      <c r="AB1013" s="29"/>
      <c r="AC1013" s="29"/>
      <c r="AD1013" s="29"/>
      <c r="AE1013" s="29"/>
      <c r="AF1013" s="29"/>
      <c r="AG1013" s="29"/>
      <c r="AH1013" s="29"/>
      <c r="AI1013" s="29"/>
      <c r="AJ1013" s="29"/>
    </row>
  </sheetData>
  <mergeCells count="1">
    <mergeCell ref="D1:N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F1012"/>
  <sheetViews>
    <sheetView workbookViewId="0"/>
  </sheetViews>
  <sheetFormatPr defaultColWidth="14.453125" defaultRowHeight="15" customHeight="1"/>
  <cols>
    <col min="1" max="3" width="23.08984375" customWidth="1"/>
    <col min="4" max="4" width="41.453125" customWidth="1"/>
    <col min="5" max="5" width="6.7265625" customWidth="1"/>
    <col min="6" max="6" width="7.453125" customWidth="1"/>
    <col min="7" max="7" width="33.453125" customWidth="1"/>
    <col min="8" max="8" width="6.54296875" customWidth="1"/>
    <col min="9" max="9" width="6" customWidth="1"/>
    <col min="10" max="10" width="33.7265625" customWidth="1"/>
    <col min="11" max="11" width="6.81640625" customWidth="1"/>
    <col min="12" max="12" width="6.54296875" customWidth="1"/>
    <col min="13" max="13" width="25.54296875" customWidth="1"/>
  </cols>
  <sheetData>
    <row r="1" spans="1:32">
      <c r="A1" s="1" t="s">
        <v>547</v>
      </c>
      <c r="B1" s="1" t="s">
        <v>505</v>
      </c>
      <c r="C1" s="1" t="s">
        <v>40</v>
      </c>
      <c r="D1" s="50" t="s">
        <v>41</v>
      </c>
      <c r="E1" s="46"/>
      <c r="F1" s="46"/>
      <c r="G1" s="46"/>
      <c r="H1" s="46"/>
      <c r="I1" s="46"/>
      <c r="J1" s="46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</row>
    <row r="2" spans="1:32">
      <c r="A2" s="29"/>
      <c r="B2" s="29"/>
      <c r="C2" s="29"/>
      <c r="D2" s="31" t="s">
        <v>42</v>
      </c>
      <c r="E2" s="2" t="s">
        <v>15</v>
      </c>
      <c r="F2" s="2" t="s">
        <v>44</v>
      </c>
      <c r="G2" s="2" t="s">
        <v>6</v>
      </c>
      <c r="H2" s="2"/>
      <c r="I2" s="2"/>
      <c r="J2" s="2" t="s">
        <v>45</v>
      </c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</row>
    <row r="3" spans="1:32">
      <c r="A3" s="29"/>
      <c r="B3" s="29" t="s">
        <v>506</v>
      </c>
      <c r="C3" s="29" t="s">
        <v>373</v>
      </c>
      <c r="D3" s="29" t="s">
        <v>548</v>
      </c>
      <c r="E3" s="29">
        <v>5</v>
      </c>
      <c r="F3" s="29">
        <v>3.87</v>
      </c>
      <c r="G3" s="29">
        <v>6</v>
      </c>
      <c r="H3" s="29"/>
      <c r="I3" s="29"/>
      <c r="J3" s="29" t="s">
        <v>549</v>
      </c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</row>
    <row r="4" spans="1:32">
      <c r="A4" s="29"/>
      <c r="B4" s="29" t="s">
        <v>506</v>
      </c>
      <c r="C4" s="29" t="s">
        <v>138</v>
      </c>
      <c r="D4" s="29" t="s">
        <v>550</v>
      </c>
      <c r="E4" s="29">
        <v>8</v>
      </c>
      <c r="F4" s="29">
        <v>6.77</v>
      </c>
      <c r="G4" s="29">
        <v>25</v>
      </c>
      <c r="H4" s="29"/>
      <c r="I4" s="29"/>
      <c r="J4" s="29" t="s">
        <v>551</v>
      </c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</row>
    <row r="5" spans="1:32">
      <c r="A5" s="29"/>
      <c r="B5" s="29" t="s">
        <v>506</v>
      </c>
      <c r="C5" s="29" t="s">
        <v>204</v>
      </c>
      <c r="D5" s="29" t="s">
        <v>552</v>
      </c>
      <c r="E5" s="29">
        <v>4</v>
      </c>
      <c r="F5" s="29">
        <v>6.88</v>
      </c>
      <c r="G5" s="29">
        <v>10</v>
      </c>
      <c r="H5" s="29"/>
      <c r="I5" s="29"/>
      <c r="J5" s="29" t="s">
        <v>553</v>
      </c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</row>
    <row r="6" spans="1:32">
      <c r="A6" s="29"/>
      <c r="B6" s="29" t="s">
        <v>506</v>
      </c>
      <c r="C6" s="29" t="s">
        <v>554</v>
      </c>
      <c r="D6" s="29" t="s">
        <v>555</v>
      </c>
      <c r="E6" s="29">
        <v>0</v>
      </c>
      <c r="F6" s="29">
        <v>1.02</v>
      </c>
      <c r="G6" s="29">
        <v>0</v>
      </c>
      <c r="H6" s="29"/>
      <c r="I6" s="29"/>
      <c r="J6" s="29" t="s">
        <v>556</v>
      </c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</row>
    <row r="7" spans="1:32">
      <c r="A7" s="29"/>
      <c r="B7" s="29"/>
      <c r="C7" s="29"/>
      <c r="D7" s="2"/>
      <c r="E7" s="2"/>
      <c r="F7" s="2"/>
      <c r="G7" s="2"/>
      <c r="H7" s="2"/>
      <c r="I7" s="2"/>
      <c r="J7" s="2"/>
      <c r="K7" s="2"/>
      <c r="L7" s="2"/>
      <c r="M7" s="2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</row>
    <row r="8" spans="1:32">
      <c r="A8" s="29"/>
      <c r="B8" s="29"/>
      <c r="C8" s="29"/>
      <c r="D8" s="2" t="s">
        <v>56</v>
      </c>
      <c r="E8" s="2" t="s">
        <v>57</v>
      </c>
      <c r="F8" s="2" t="s">
        <v>58</v>
      </c>
      <c r="G8" s="2" t="s">
        <v>59</v>
      </c>
      <c r="H8" s="2" t="s">
        <v>57</v>
      </c>
      <c r="I8" s="2" t="s">
        <v>58</v>
      </c>
      <c r="J8" s="2" t="s">
        <v>60</v>
      </c>
      <c r="K8" s="2" t="s">
        <v>557</v>
      </c>
      <c r="L8" s="2" t="s">
        <v>15</v>
      </c>
      <c r="M8" s="2" t="s">
        <v>45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</row>
    <row r="9" spans="1:32">
      <c r="A9" s="29"/>
      <c r="B9" s="29" t="s">
        <v>63</v>
      </c>
      <c r="C9" s="29" t="s">
        <v>373</v>
      </c>
      <c r="D9" s="29" t="s">
        <v>558</v>
      </c>
      <c r="E9" s="29">
        <v>75</v>
      </c>
      <c r="F9" s="29">
        <v>0.54</v>
      </c>
      <c r="G9" s="29" t="s">
        <v>559</v>
      </c>
      <c r="H9" s="29">
        <v>16</v>
      </c>
      <c r="I9" s="29">
        <v>0.3</v>
      </c>
      <c r="J9" s="41">
        <v>45475</v>
      </c>
      <c r="K9" s="29">
        <v>7</v>
      </c>
      <c r="L9" s="29">
        <v>2</v>
      </c>
      <c r="M9" s="29" t="s">
        <v>539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</row>
    <row r="10" spans="1:32">
      <c r="A10" s="29"/>
      <c r="B10" s="29" t="s">
        <v>63</v>
      </c>
      <c r="C10" s="29" t="s">
        <v>209</v>
      </c>
      <c r="D10" s="29" t="s">
        <v>560</v>
      </c>
      <c r="E10" s="29">
        <v>79</v>
      </c>
      <c r="F10" s="29">
        <v>0.6</v>
      </c>
      <c r="G10" s="29" t="s">
        <v>561</v>
      </c>
      <c r="H10" s="29">
        <v>21</v>
      </c>
      <c r="I10" s="29">
        <v>0.35</v>
      </c>
      <c r="J10" s="29" t="s">
        <v>562</v>
      </c>
      <c r="K10" s="29">
        <v>17</v>
      </c>
      <c r="L10" s="29">
        <v>5</v>
      </c>
      <c r="M10" s="29" t="s">
        <v>563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</row>
    <row r="11" spans="1:32">
      <c r="A11" s="29"/>
      <c r="B11" s="29" t="s">
        <v>63</v>
      </c>
      <c r="C11" s="29" t="s">
        <v>564</v>
      </c>
      <c r="D11" s="29" t="s">
        <v>538</v>
      </c>
      <c r="E11" s="29">
        <v>14</v>
      </c>
      <c r="F11" s="29">
        <v>0.47</v>
      </c>
      <c r="G11" s="29" t="s">
        <v>565</v>
      </c>
      <c r="H11" s="29">
        <v>7</v>
      </c>
      <c r="I11" s="29">
        <v>0.37</v>
      </c>
      <c r="J11" s="29" t="s">
        <v>566</v>
      </c>
      <c r="K11" s="29">
        <v>1</v>
      </c>
      <c r="L11" s="29">
        <v>0</v>
      </c>
      <c r="M11" s="29" t="s">
        <v>567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</row>
    <row r="12" spans="1:32">
      <c r="A12" s="29"/>
      <c r="B12" s="29"/>
      <c r="C12" s="29"/>
      <c r="D12" s="2"/>
      <c r="E12" s="2"/>
      <c r="F12" s="2"/>
      <c r="G12" s="2"/>
      <c r="H12" s="2"/>
      <c r="I12" s="2"/>
      <c r="J12" s="2"/>
      <c r="K12" s="2"/>
      <c r="L12" s="2"/>
      <c r="M12" s="2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</row>
    <row r="13" spans="1:32">
      <c r="A13" s="29"/>
      <c r="B13" s="29"/>
      <c r="C13" s="29"/>
      <c r="D13" s="2" t="s">
        <v>94</v>
      </c>
      <c r="E13" s="2" t="s">
        <v>57</v>
      </c>
      <c r="F13" s="2" t="s">
        <v>58</v>
      </c>
      <c r="G13" s="2" t="s">
        <v>95</v>
      </c>
      <c r="H13" s="2" t="s">
        <v>57</v>
      </c>
      <c r="I13" s="2" t="s">
        <v>58</v>
      </c>
      <c r="J13" s="2" t="s">
        <v>96</v>
      </c>
      <c r="K13" s="2" t="s">
        <v>568</v>
      </c>
      <c r="L13" s="2" t="s">
        <v>569</v>
      </c>
      <c r="M13" s="2" t="s">
        <v>31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</row>
    <row r="14" spans="1:32">
      <c r="A14" s="29" t="s">
        <v>570</v>
      </c>
      <c r="B14" s="29" t="s">
        <v>357</v>
      </c>
      <c r="C14" s="29" t="s">
        <v>132</v>
      </c>
      <c r="D14" s="29" t="s">
        <v>571</v>
      </c>
      <c r="E14" s="29">
        <v>715</v>
      </c>
      <c r="F14" s="29">
        <v>0.72</v>
      </c>
      <c r="G14" s="29" t="s">
        <v>572</v>
      </c>
      <c r="H14" s="29">
        <v>133</v>
      </c>
      <c r="I14" s="29">
        <v>0.61</v>
      </c>
      <c r="J14" s="29" t="s">
        <v>573</v>
      </c>
      <c r="K14" s="29">
        <v>100</v>
      </c>
      <c r="L14" s="29">
        <v>61</v>
      </c>
      <c r="M14" s="29">
        <v>3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</row>
    <row r="15" spans="1:32">
      <c r="A15" s="29" t="s">
        <v>100</v>
      </c>
      <c r="B15" s="29" t="s">
        <v>101</v>
      </c>
      <c r="C15" s="29" t="s">
        <v>344</v>
      </c>
      <c r="D15" s="29" t="s">
        <v>574</v>
      </c>
      <c r="E15" s="29">
        <v>956</v>
      </c>
      <c r="F15" s="29">
        <v>0.98</v>
      </c>
      <c r="G15" s="29" t="s">
        <v>575</v>
      </c>
      <c r="H15" s="29">
        <v>59</v>
      </c>
      <c r="I15" s="29">
        <v>0.59</v>
      </c>
      <c r="J15" s="29" t="s">
        <v>576</v>
      </c>
      <c r="K15" s="29">
        <v>103</v>
      </c>
      <c r="L15" s="29">
        <v>96</v>
      </c>
      <c r="M15" s="29">
        <v>11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</row>
    <row r="16" spans="1:32">
      <c r="A16" s="29" t="s">
        <v>100</v>
      </c>
      <c r="B16" s="29" t="s">
        <v>101</v>
      </c>
      <c r="C16" s="29" t="s">
        <v>507</v>
      </c>
      <c r="D16" s="29" t="s">
        <v>577</v>
      </c>
      <c r="E16" s="29">
        <v>614</v>
      </c>
      <c r="F16" s="29">
        <v>0.81</v>
      </c>
      <c r="G16" s="29" t="s">
        <v>578</v>
      </c>
      <c r="H16" s="29">
        <v>96</v>
      </c>
      <c r="I16" s="29">
        <v>0.69</v>
      </c>
      <c r="J16" s="29" t="s">
        <v>579</v>
      </c>
      <c r="K16" s="29">
        <v>109</v>
      </c>
      <c r="L16" s="29">
        <v>69</v>
      </c>
      <c r="M16" s="29">
        <v>12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</row>
    <row r="17" spans="1:32">
      <c r="A17" s="29" t="s">
        <v>570</v>
      </c>
      <c r="B17" s="29" t="s">
        <v>357</v>
      </c>
      <c r="C17" s="29" t="s">
        <v>316</v>
      </c>
      <c r="D17" s="29" t="s">
        <v>580</v>
      </c>
      <c r="E17" s="29">
        <v>603</v>
      </c>
      <c r="F17" s="29">
        <v>0.86</v>
      </c>
      <c r="G17" s="29" t="s">
        <v>581</v>
      </c>
      <c r="H17" s="29">
        <v>85</v>
      </c>
      <c r="I17" s="29">
        <v>0.64</v>
      </c>
      <c r="J17" s="29" t="s">
        <v>582</v>
      </c>
      <c r="K17" s="29">
        <v>83</v>
      </c>
      <c r="L17" s="29">
        <v>35</v>
      </c>
      <c r="M17" s="29">
        <v>5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</row>
    <row r="18" spans="1:32">
      <c r="A18" s="29"/>
      <c r="B18" s="29"/>
      <c r="C18" s="29"/>
      <c r="D18" s="2"/>
      <c r="E18" s="2"/>
      <c r="F18" s="2"/>
      <c r="G18" s="2"/>
      <c r="H18" s="2"/>
      <c r="I18" s="2"/>
      <c r="J18" s="2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</row>
    <row r="19" spans="1:32">
      <c r="A19" s="29"/>
      <c r="B19" s="29"/>
      <c r="C19" s="29"/>
      <c r="D19" s="2" t="s">
        <v>118</v>
      </c>
      <c r="E19" s="2" t="s">
        <v>44</v>
      </c>
      <c r="F19" s="2" t="s">
        <v>119</v>
      </c>
      <c r="G19" s="2" t="s">
        <v>35</v>
      </c>
      <c r="H19" s="2"/>
      <c r="I19" s="2"/>
      <c r="J19" s="2" t="s">
        <v>120</v>
      </c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</row>
    <row r="20" spans="1:32">
      <c r="A20" s="29"/>
      <c r="B20" s="29" t="s">
        <v>123</v>
      </c>
      <c r="C20" s="29" t="s">
        <v>114</v>
      </c>
      <c r="D20" s="29" t="s">
        <v>583</v>
      </c>
      <c r="E20" s="29">
        <v>19</v>
      </c>
      <c r="F20" s="29">
        <v>18</v>
      </c>
      <c r="G20" s="29">
        <v>0.79</v>
      </c>
      <c r="H20" s="29"/>
      <c r="I20" s="29"/>
      <c r="J20" s="40">
        <v>0.74</v>
      </c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</row>
    <row r="21" spans="1:32">
      <c r="A21" s="29"/>
      <c r="B21" s="29"/>
      <c r="C21" s="29"/>
      <c r="D21" s="31"/>
      <c r="E21" s="31"/>
      <c r="F21" s="31"/>
      <c r="G21" s="31"/>
      <c r="H21" s="31"/>
      <c r="I21" s="31"/>
      <c r="J21" s="31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</row>
    <row r="22" spans="1:32">
      <c r="A22" s="29"/>
      <c r="B22" s="29"/>
      <c r="C22" s="29"/>
      <c r="D22" s="31" t="s">
        <v>125</v>
      </c>
      <c r="E22" s="32" t="s">
        <v>57</v>
      </c>
      <c r="F22" s="32" t="s">
        <v>58</v>
      </c>
      <c r="G22" s="31" t="s">
        <v>126</v>
      </c>
      <c r="H22" s="32" t="s">
        <v>57</v>
      </c>
      <c r="I22" s="32" t="s">
        <v>58</v>
      </c>
      <c r="J22" s="31" t="s">
        <v>127</v>
      </c>
      <c r="K22" s="29" t="s">
        <v>128</v>
      </c>
      <c r="L22" s="29" t="s">
        <v>58</v>
      </c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</row>
    <row r="23" spans="1:32">
      <c r="A23" s="29" t="s">
        <v>584</v>
      </c>
      <c r="B23" s="29" t="s">
        <v>131</v>
      </c>
      <c r="C23" s="29" t="s">
        <v>513</v>
      </c>
      <c r="D23" s="29" t="s">
        <v>585</v>
      </c>
      <c r="E23" s="29">
        <v>712</v>
      </c>
      <c r="F23" s="29">
        <v>0.81</v>
      </c>
      <c r="G23" s="29" t="s">
        <v>586</v>
      </c>
      <c r="H23" s="29">
        <v>59</v>
      </c>
      <c r="I23" s="29">
        <v>0.49</v>
      </c>
      <c r="J23" s="29" t="s">
        <v>587</v>
      </c>
      <c r="K23" s="29">
        <v>148</v>
      </c>
      <c r="L23" s="29">
        <v>0.76</v>
      </c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</row>
    <row r="24" spans="1:32">
      <c r="A24" s="29" t="s">
        <v>584</v>
      </c>
      <c r="B24" s="29" t="s">
        <v>131</v>
      </c>
      <c r="C24" s="29" t="s">
        <v>358</v>
      </c>
      <c r="D24" s="29" t="s">
        <v>588</v>
      </c>
      <c r="E24" s="29">
        <v>868</v>
      </c>
      <c r="F24" s="29">
        <v>0.8</v>
      </c>
      <c r="G24" s="29" t="s">
        <v>589</v>
      </c>
      <c r="H24" s="29">
        <v>31</v>
      </c>
      <c r="I24" s="29">
        <v>0.49</v>
      </c>
      <c r="J24" s="29" t="s">
        <v>590</v>
      </c>
      <c r="K24" s="29">
        <v>133</v>
      </c>
      <c r="L24" s="29">
        <v>0.76</v>
      </c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</row>
    <row r="25" spans="1:32">
      <c r="A25" s="29" t="s">
        <v>584</v>
      </c>
      <c r="B25" s="29" t="s">
        <v>131</v>
      </c>
      <c r="C25" s="29" t="s">
        <v>292</v>
      </c>
      <c r="D25" s="29" t="s">
        <v>591</v>
      </c>
      <c r="E25" s="29">
        <v>360</v>
      </c>
      <c r="F25" s="29">
        <v>0.82</v>
      </c>
      <c r="G25" s="29" t="s">
        <v>592</v>
      </c>
      <c r="H25" s="29">
        <v>16</v>
      </c>
      <c r="I25" s="29">
        <v>0.42</v>
      </c>
      <c r="J25" s="29" t="s">
        <v>593</v>
      </c>
      <c r="K25" s="29">
        <v>53</v>
      </c>
      <c r="L25" s="29">
        <v>0.78</v>
      </c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</row>
    <row r="26" spans="1:32">
      <c r="A26" s="2"/>
      <c r="B26" s="2"/>
      <c r="C26" s="2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</row>
    <row r="27" spans="1:3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</row>
    <row r="28" spans="1:32">
      <c r="A28" s="29"/>
      <c r="B28" s="29">
        <f>COUNTIF($B$2:$B$26,"Center Back")</f>
        <v>2</v>
      </c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</row>
    <row r="29" spans="1:3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</row>
    <row r="30" spans="1:3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</row>
    <row r="31" spans="1:3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</row>
    <row r="32" spans="1:3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</row>
    <row r="33" spans="1:3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</row>
    <row r="34" spans="1:3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</row>
    <row r="35" spans="1:32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</row>
    <row r="36" spans="1:32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</row>
    <row r="37" spans="1:32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</row>
    <row r="38" spans="1:32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</row>
    <row r="39" spans="1:32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</row>
    <row r="40" spans="1:32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</row>
    <row r="41" spans="1:32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</row>
    <row r="42" spans="1:32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</row>
    <row r="43" spans="1:32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</row>
    <row r="44" spans="1:32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</row>
    <row r="45" spans="1:32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</row>
    <row r="46" spans="1:32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</row>
    <row r="47" spans="1:32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</row>
    <row r="48" spans="1:32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</row>
    <row r="49" spans="1:32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</row>
    <row r="50" spans="1:32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</row>
    <row r="51" spans="1:32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</row>
    <row r="52" spans="1:3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</row>
    <row r="53" spans="1:32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</row>
    <row r="54" spans="1:32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</row>
    <row r="55" spans="1:32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</row>
    <row r="56" spans="1:32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</row>
    <row r="57" spans="1:32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</row>
    <row r="58" spans="1:32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</row>
    <row r="59" spans="1:32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</row>
    <row r="60" spans="1:32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</row>
    <row r="61" spans="1:32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</row>
    <row r="62" spans="1:3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</row>
    <row r="63" spans="1:32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</row>
    <row r="64" spans="1:32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</row>
    <row r="65" spans="1:32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</row>
    <row r="66" spans="1:32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</row>
    <row r="67" spans="1:32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</row>
    <row r="68" spans="1:32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</row>
    <row r="69" spans="1:32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</row>
    <row r="70" spans="1:32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</row>
    <row r="71" spans="1:32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</row>
    <row r="72" spans="1:3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</row>
    <row r="73" spans="1:32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</row>
    <row r="74" spans="1:32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</row>
    <row r="75" spans="1:32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</row>
    <row r="76" spans="1:32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</row>
    <row r="77" spans="1:32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</row>
    <row r="78" spans="1:32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</row>
    <row r="79" spans="1:32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</row>
    <row r="80" spans="1:32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</row>
    <row r="81" spans="1:32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</row>
    <row r="82" spans="1:3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</row>
    <row r="83" spans="1:32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</row>
    <row r="84" spans="1:32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</row>
    <row r="85" spans="1:32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</row>
    <row r="86" spans="1:32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</row>
    <row r="87" spans="1:32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</row>
    <row r="88" spans="1:32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</row>
    <row r="89" spans="1:32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</row>
    <row r="90" spans="1:32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</row>
    <row r="91" spans="1:32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</row>
    <row r="92" spans="1:3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</row>
    <row r="93" spans="1:32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</row>
    <row r="94" spans="1:32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</row>
    <row r="95" spans="1:32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</row>
    <row r="96" spans="1:32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</row>
    <row r="97" spans="1:32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</row>
    <row r="98" spans="1:32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</row>
    <row r="99" spans="1:32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</row>
    <row r="100" spans="1:32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</row>
    <row r="101" spans="1:32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</row>
    <row r="102" spans="1:3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</row>
    <row r="103" spans="1:32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</row>
    <row r="104" spans="1:32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</row>
    <row r="105" spans="1:32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</row>
    <row r="106" spans="1:32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</row>
    <row r="107" spans="1:32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</row>
    <row r="108" spans="1:32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</row>
    <row r="109" spans="1:32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</row>
    <row r="110" spans="1:32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</row>
    <row r="111" spans="1:32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</row>
    <row r="112" spans="1:3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</row>
    <row r="113" spans="1:32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</row>
    <row r="114" spans="1:32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</row>
    <row r="115" spans="1:32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</row>
    <row r="116" spans="1:32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</row>
    <row r="117" spans="1:32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</row>
    <row r="118" spans="1:32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</row>
    <row r="119" spans="1:32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</row>
    <row r="120" spans="1:32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</row>
    <row r="121" spans="1:32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</row>
    <row r="122" spans="1:3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</row>
    <row r="123" spans="1:32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</row>
    <row r="124" spans="1:32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</row>
    <row r="125" spans="1:32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</row>
    <row r="126" spans="1:32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</row>
    <row r="127" spans="1:32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</row>
    <row r="128" spans="1:32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</row>
    <row r="129" spans="1:32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</row>
    <row r="130" spans="1:32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</row>
    <row r="131" spans="1:32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</row>
    <row r="132" spans="1:3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</row>
    <row r="133" spans="1:32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</row>
    <row r="134" spans="1:32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</row>
    <row r="135" spans="1:32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</row>
    <row r="136" spans="1:32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</row>
    <row r="137" spans="1:32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</row>
    <row r="138" spans="1:32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</row>
    <row r="139" spans="1:32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</row>
    <row r="140" spans="1:32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</row>
    <row r="141" spans="1:32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</row>
    <row r="142" spans="1:3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</row>
    <row r="143" spans="1:32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</row>
    <row r="144" spans="1:32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</row>
    <row r="145" spans="1:32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</row>
    <row r="146" spans="1:32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</row>
    <row r="147" spans="1:32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</row>
    <row r="148" spans="1:32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</row>
    <row r="149" spans="1:32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</row>
    <row r="150" spans="1:32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</row>
    <row r="151" spans="1:32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</row>
    <row r="152" spans="1:3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</row>
    <row r="153" spans="1:32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</row>
    <row r="154" spans="1:32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</row>
    <row r="155" spans="1:32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</row>
    <row r="156" spans="1:32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</row>
    <row r="157" spans="1:32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</row>
    <row r="158" spans="1:32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</row>
    <row r="159" spans="1:32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</row>
    <row r="160" spans="1:32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</row>
    <row r="161" spans="1:32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</row>
    <row r="162" spans="1:3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</row>
    <row r="163" spans="1:32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</row>
    <row r="164" spans="1:32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</row>
    <row r="165" spans="1:32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</row>
    <row r="166" spans="1:32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</row>
    <row r="167" spans="1:32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</row>
    <row r="168" spans="1:32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</row>
    <row r="169" spans="1:32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</row>
    <row r="170" spans="1:32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</row>
    <row r="171" spans="1:32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</row>
    <row r="172" spans="1:3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</row>
    <row r="173" spans="1:32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</row>
    <row r="174" spans="1:32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</row>
    <row r="175" spans="1:32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</row>
    <row r="176" spans="1:32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</row>
    <row r="177" spans="1:32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</row>
    <row r="178" spans="1:32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</row>
    <row r="179" spans="1:32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</row>
    <row r="180" spans="1:32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</row>
    <row r="181" spans="1:32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</row>
    <row r="182" spans="1:3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</row>
    <row r="183" spans="1:32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</row>
    <row r="184" spans="1:32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</row>
    <row r="185" spans="1:32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</row>
    <row r="186" spans="1:32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</row>
    <row r="187" spans="1:32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</row>
    <row r="188" spans="1:32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</row>
    <row r="189" spans="1:32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</row>
    <row r="190" spans="1:32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</row>
    <row r="191" spans="1:32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</row>
    <row r="192" spans="1:3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</row>
    <row r="193" spans="1:32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</row>
    <row r="194" spans="1:32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</row>
    <row r="195" spans="1:32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</row>
    <row r="196" spans="1:32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</row>
    <row r="197" spans="1:32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</row>
    <row r="198" spans="1:32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</row>
    <row r="199" spans="1:32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</row>
    <row r="200" spans="1:32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</row>
    <row r="201" spans="1:32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</row>
    <row r="202" spans="1:3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</row>
    <row r="203" spans="1:32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</row>
    <row r="204" spans="1:32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</row>
    <row r="205" spans="1:32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</row>
    <row r="206" spans="1:32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</row>
    <row r="207" spans="1:32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</row>
    <row r="208" spans="1:32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</row>
    <row r="209" spans="1:32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</row>
    <row r="210" spans="1:32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</row>
    <row r="211" spans="1:32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</row>
    <row r="212" spans="1:3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</row>
    <row r="213" spans="1:32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</row>
    <row r="214" spans="1:32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</row>
    <row r="215" spans="1:32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</row>
    <row r="216" spans="1:32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</row>
    <row r="217" spans="1:32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</row>
    <row r="218" spans="1:32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</row>
    <row r="219" spans="1:32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</row>
    <row r="220" spans="1:32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</row>
    <row r="221" spans="1:32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</row>
    <row r="222" spans="1:3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</row>
    <row r="223" spans="1:32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</row>
    <row r="224" spans="1:32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</row>
    <row r="225" spans="1:32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</row>
    <row r="226" spans="1:32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</row>
    <row r="227" spans="1:32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</row>
    <row r="228" spans="1:32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</row>
    <row r="229" spans="1:32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</row>
    <row r="230" spans="1:32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</row>
    <row r="231" spans="1:32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</row>
    <row r="232" spans="1: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</row>
    <row r="233" spans="1:32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</row>
    <row r="234" spans="1:32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</row>
    <row r="235" spans="1:32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</row>
    <row r="236" spans="1:32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</row>
    <row r="237" spans="1:32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</row>
    <row r="238" spans="1:32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</row>
    <row r="239" spans="1:32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</row>
    <row r="240" spans="1:32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</row>
    <row r="241" spans="1:32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</row>
    <row r="242" spans="1:3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</row>
    <row r="243" spans="1:32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</row>
    <row r="244" spans="1:32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</row>
    <row r="245" spans="1:32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</row>
    <row r="246" spans="1:32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</row>
    <row r="247" spans="1:32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</row>
    <row r="248" spans="1:32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</row>
    <row r="249" spans="1:32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</row>
    <row r="250" spans="1:32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</row>
    <row r="251" spans="1:32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</row>
    <row r="252" spans="1:3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</row>
    <row r="253" spans="1:32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</row>
    <row r="254" spans="1:32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</row>
    <row r="255" spans="1:32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</row>
    <row r="256" spans="1:32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</row>
    <row r="257" spans="1:32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</row>
    <row r="258" spans="1:32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</row>
    <row r="259" spans="1:32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</row>
    <row r="260" spans="1:32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</row>
    <row r="261" spans="1:32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</row>
    <row r="262" spans="1:3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</row>
    <row r="263" spans="1:32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</row>
    <row r="264" spans="1:32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</row>
    <row r="265" spans="1:32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</row>
    <row r="266" spans="1:32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</row>
    <row r="267" spans="1:32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</row>
    <row r="268" spans="1:32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</row>
    <row r="269" spans="1:32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</row>
    <row r="270" spans="1:32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</row>
    <row r="271" spans="1:32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</row>
    <row r="272" spans="1:3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</row>
    <row r="273" spans="1:32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</row>
    <row r="274" spans="1:32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</row>
    <row r="275" spans="1:32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</row>
    <row r="276" spans="1:32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</row>
    <row r="277" spans="1:32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</row>
    <row r="278" spans="1:32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</row>
    <row r="279" spans="1:32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</row>
    <row r="280" spans="1:32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</row>
    <row r="281" spans="1:32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</row>
    <row r="282" spans="1:3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</row>
    <row r="283" spans="1:32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</row>
    <row r="284" spans="1:32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</row>
    <row r="285" spans="1:32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</row>
    <row r="286" spans="1:32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</row>
    <row r="287" spans="1:32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</row>
    <row r="288" spans="1:32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</row>
    <row r="289" spans="1:32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</row>
    <row r="290" spans="1:32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</row>
    <row r="291" spans="1:32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</row>
    <row r="292" spans="1:3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</row>
    <row r="293" spans="1:32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</row>
    <row r="294" spans="1:32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</row>
    <row r="295" spans="1:32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</row>
    <row r="296" spans="1:32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</row>
    <row r="297" spans="1:32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</row>
    <row r="298" spans="1:32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</row>
    <row r="299" spans="1:32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</row>
    <row r="300" spans="1:32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</row>
    <row r="301" spans="1:32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</row>
    <row r="302" spans="1:3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</row>
    <row r="303" spans="1:32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</row>
    <row r="304" spans="1:32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</row>
    <row r="305" spans="1:32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</row>
    <row r="306" spans="1:32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</row>
    <row r="307" spans="1:32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</row>
    <row r="308" spans="1:32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</row>
    <row r="309" spans="1:32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</row>
    <row r="310" spans="1:32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</row>
    <row r="311" spans="1:32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</row>
    <row r="312" spans="1:3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</row>
    <row r="313" spans="1:32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</row>
    <row r="314" spans="1:32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</row>
    <row r="315" spans="1:32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</row>
    <row r="316" spans="1:32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</row>
    <row r="317" spans="1:32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</row>
    <row r="318" spans="1:32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</row>
    <row r="319" spans="1:32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</row>
    <row r="320" spans="1:32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</row>
    <row r="321" spans="1:32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</row>
    <row r="322" spans="1:3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</row>
    <row r="323" spans="1:32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</row>
    <row r="324" spans="1:32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</row>
    <row r="325" spans="1:32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</row>
    <row r="326" spans="1:32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</row>
    <row r="327" spans="1:32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</row>
    <row r="328" spans="1:32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</row>
    <row r="329" spans="1:32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</row>
    <row r="330" spans="1:32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</row>
    <row r="331" spans="1:32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</row>
    <row r="332" spans="1: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</row>
    <row r="333" spans="1:32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</row>
    <row r="334" spans="1:32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</row>
    <row r="335" spans="1:32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</row>
    <row r="336" spans="1:32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</row>
    <row r="337" spans="1:32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</row>
    <row r="338" spans="1:32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</row>
    <row r="339" spans="1:32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</row>
    <row r="340" spans="1:32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</row>
    <row r="341" spans="1:32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</row>
    <row r="342" spans="1:3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</row>
    <row r="343" spans="1:32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</row>
    <row r="344" spans="1:32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</row>
    <row r="345" spans="1:32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</row>
    <row r="346" spans="1:32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</row>
    <row r="347" spans="1:32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</row>
    <row r="348" spans="1:32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</row>
    <row r="349" spans="1:32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</row>
    <row r="350" spans="1:32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</row>
    <row r="351" spans="1:32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</row>
    <row r="352" spans="1:3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</row>
    <row r="353" spans="1:32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</row>
    <row r="354" spans="1:32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</row>
    <row r="355" spans="1:32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</row>
    <row r="356" spans="1:32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</row>
    <row r="357" spans="1:32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</row>
    <row r="358" spans="1:32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</row>
    <row r="359" spans="1:32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</row>
    <row r="360" spans="1:32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</row>
    <row r="361" spans="1:32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</row>
    <row r="362" spans="1:3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</row>
    <row r="363" spans="1:32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</row>
    <row r="364" spans="1:32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</row>
    <row r="365" spans="1:32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</row>
    <row r="366" spans="1:32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</row>
    <row r="367" spans="1:32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</row>
    <row r="368" spans="1:32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</row>
    <row r="369" spans="1:32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</row>
    <row r="370" spans="1:32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</row>
    <row r="371" spans="1:32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</row>
    <row r="372" spans="1:3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</row>
    <row r="373" spans="1:32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</row>
    <row r="374" spans="1:32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</row>
    <row r="375" spans="1:32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</row>
    <row r="376" spans="1:32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</row>
    <row r="377" spans="1:32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</row>
    <row r="378" spans="1:32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</row>
    <row r="379" spans="1:32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</row>
    <row r="380" spans="1:32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</row>
    <row r="381" spans="1:32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</row>
    <row r="382" spans="1:3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</row>
    <row r="383" spans="1:32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</row>
    <row r="384" spans="1:32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</row>
    <row r="385" spans="1:32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</row>
    <row r="386" spans="1:32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</row>
    <row r="387" spans="1:32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</row>
    <row r="388" spans="1:32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</row>
    <row r="389" spans="1:32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</row>
    <row r="390" spans="1:32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</row>
    <row r="391" spans="1:32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</row>
    <row r="392" spans="1:3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</row>
    <row r="393" spans="1:32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</row>
    <row r="394" spans="1:32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</row>
    <row r="395" spans="1:32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</row>
    <row r="396" spans="1:32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</row>
    <row r="397" spans="1:32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</row>
    <row r="398" spans="1:32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</row>
    <row r="399" spans="1:32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</row>
    <row r="400" spans="1:32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</row>
    <row r="401" spans="1:32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</row>
    <row r="402" spans="1:3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</row>
    <row r="403" spans="1:32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</row>
    <row r="404" spans="1:32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</row>
    <row r="405" spans="1:32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</row>
    <row r="406" spans="1:32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</row>
    <row r="407" spans="1:32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</row>
    <row r="408" spans="1:32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</row>
    <row r="409" spans="1:32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</row>
    <row r="410" spans="1:32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</row>
    <row r="411" spans="1:32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</row>
    <row r="412" spans="1:3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</row>
    <row r="413" spans="1:32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</row>
    <row r="414" spans="1:32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</row>
    <row r="415" spans="1:32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</row>
    <row r="416" spans="1:32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</row>
    <row r="417" spans="1:32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</row>
    <row r="418" spans="1:32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</row>
    <row r="419" spans="1:32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</row>
    <row r="420" spans="1:32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</row>
    <row r="421" spans="1:32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</row>
    <row r="422" spans="1:3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</row>
    <row r="423" spans="1:32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</row>
    <row r="424" spans="1:32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</row>
    <row r="425" spans="1:32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</row>
    <row r="426" spans="1:32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</row>
    <row r="427" spans="1:32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</row>
    <row r="428" spans="1:32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</row>
    <row r="429" spans="1:32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</row>
    <row r="430" spans="1:32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</row>
    <row r="431" spans="1:32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</row>
    <row r="432" spans="1: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</row>
    <row r="433" spans="1:32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</row>
    <row r="434" spans="1:32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</row>
    <row r="435" spans="1:32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</row>
    <row r="436" spans="1:32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</row>
    <row r="437" spans="1:32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</row>
    <row r="438" spans="1:32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</row>
    <row r="439" spans="1:32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</row>
    <row r="440" spans="1:32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</row>
    <row r="441" spans="1:32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</row>
    <row r="442" spans="1:3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</row>
    <row r="443" spans="1:32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</row>
    <row r="444" spans="1:32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</row>
    <row r="445" spans="1:32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</row>
    <row r="446" spans="1:32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</row>
    <row r="447" spans="1:32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</row>
    <row r="448" spans="1:32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</row>
    <row r="449" spans="1:32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</row>
    <row r="450" spans="1:32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</row>
    <row r="451" spans="1:32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</row>
    <row r="452" spans="1:3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</row>
    <row r="453" spans="1:32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</row>
    <row r="454" spans="1:32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</row>
    <row r="455" spans="1:32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</row>
    <row r="456" spans="1:32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</row>
    <row r="457" spans="1:32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</row>
    <row r="458" spans="1:32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</row>
    <row r="459" spans="1:32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</row>
    <row r="460" spans="1:32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</row>
    <row r="461" spans="1:32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</row>
    <row r="462" spans="1:3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</row>
    <row r="463" spans="1:32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</row>
    <row r="464" spans="1:32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</row>
    <row r="465" spans="1:32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</row>
    <row r="466" spans="1:32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</row>
    <row r="467" spans="1:32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</row>
    <row r="468" spans="1:32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</row>
    <row r="469" spans="1:32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</row>
    <row r="470" spans="1:32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</row>
    <row r="471" spans="1:32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</row>
    <row r="472" spans="1:3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</row>
    <row r="473" spans="1:32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</row>
    <row r="474" spans="1:32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</row>
    <row r="475" spans="1:32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</row>
    <row r="476" spans="1:32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</row>
    <row r="477" spans="1:32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</row>
    <row r="478" spans="1:32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</row>
    <row r="479" spans="1:32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</row>
    <row r="480" spans="1:32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</row>
    <row r="481" spans="1:32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</row>
    <row r="482" spans="1:3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</row>
    <row r="483" spans="1:32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</row>
    <row r="484" spans="1:32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</row>
    <row r="485" spans="1:32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</row>
    <row r="486" spans="1:32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</row>
    <row r="487" spans="1:32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</row>
    <row r="488" spans="1:32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</row>
    <row r="489" spans="1:32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</row>
    <row r="490" spans="1:32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</row>
    <row r="491" spans="1:32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</row>
    <row r="492" spans="1:3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</row>
    <row r="493" spans="1:32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</row>
    <row r="494" spans="1:32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</row>
    <row r="495" spans="1:32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</row>
    <row r="496" spans="1:32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</row>
    <row r="497" spans="1:32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</row>
    <row r="498" spans="1:32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</row>
    <row r="499" spans="1:32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</row>
    <row r="500" spans="1:32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</row>
    <row r="501" spans="1:32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</row>
    <row r="502" spans="1:3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</row>
    <row r="503" spans="1:32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</row>
    <row r="504" spans="1:32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</row>
    <row r="505" spans="1:32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</row>
    <row r="506" spans="1:32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</row>
    <row r="507" spans="1:32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</row>
    <row r="508" spans="1:32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</row>
    <row r="509" spans="1:32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</row>
    <row r="510" spans="1:32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</row>
    <row r="511" spans="1:32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</row>
    <row r="512" spans="1:3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</row>
    <row r="513" spans="1:32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</row>
    <row r="514" spans="1:32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</row>
    <row r="515" spans="1:32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</row>
    <row r="516" spans="1:32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</row>
    <row r="517" spans="1:32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</row>
    <row r="518" spans="1:32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</row>
    <row r="519" spans="1:32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</row>
    <row r="520" spans="1:32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</row>
    <row r="521" spans="1:32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</row>
    <row r="522" spans="1:3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</row>
    <row r="523" spans="1:32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</row>
    <row r="524" spans="1:32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</row>
    <row r="525" spans="1:32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</row>
    <row r="526" spans="1:32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</row>
    <row r="527" spans="1:32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</row>
    <row r="528" spans="1:32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</row>
    <row r="529" spans="1:32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</row>
    <row r="530" spans="1:32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</row>
    <row r="531" spans="1:32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</row>
    <row r="532" spans="1: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</row>
    <row r="533" spans="1:32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</row>
    <row r="534" spans="1:32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</row>
    <row r="535" spans="1:32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</row>
    <row r="536" spans="1:32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</row>
    <row r="537" spans="1:32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</row>
    <row r="538" spans="1:32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</row>
    <row r="539" spans="1:32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</row>
    <row r="540" spans="1:32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</row>
    <row r="541" spans="1:32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</row>
    <row r="542" spans="1:3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</row>
    <row r="543" spans="1:32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</row>
    <row r="544" spans="1:32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</row>
    <row r="545" spans="1:32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</row>
    <row r="546" spans="1:32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</row>
    <row r="547" spans="1:32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</row>
    <row r="548" spans="1:32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</row>
    <row r="549" spans="1:32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</row>
    <row r="550" spans="1:32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</row>
    <row r="551" spans="1:32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</row>
    <row r="552" spans="1:3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</row>
    <row r="553" spans="1:32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</row>
    <row r="554" spans="1:32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</row>
    <row r="555" spans="1:32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</row>
    <row r="556" spans="1:32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</row>
    <row r="557" spans="1:32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</row>
    <row r="558" spans="1:32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</row>
    <row r="559" spans="1:32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</row>
    <row r="560" spans="1:32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</row>
    <row r="561" spans="1:32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</row>
    <row r="562" spans="1:3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</row>
    <row r="563" spans="1:32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</row>
    <row r="564" spans="1:32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</row>
    <row r="565" spans="1:32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</row>
    <row r="566" spans="1:32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</row>
    <row r="567" spans="1:32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</row>
    <row r="568" spans="1:32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</row>
    <row r="569" spans="1:32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</row>
    <row r="570" spans="1:32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</row>
    <row r="571" spans="1:32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</row>
    <row r="572" spans="1:3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</row>
    <row r="573" spans="1:32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</row>
    <row r="574" spans="1:32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</row>
    <row r="575" spans="1:32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</row>
    <row r="576" spans="1:32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</row>
    <row r="577" spans="1:32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</row>
    <row r="578" spans="1:32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</row>
    <row r="579" spans="1:32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</row>
    <row r="580" spans="1:32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</row>
    <row r="581" spans="1:32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</row>
    <row r="582" spans="1:3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</row>
    <row r="583" spans="1:32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</row>
    <row r="584" spans="1:32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</row>
    <row r="585" spans="1:32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</row>
    <row r="586" spans="1:32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</row>
    <row r="587" spans="1:32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</row>
    <row r="588" spans="1:32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</row>
    <row r="589" spans="1:32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</row>
    <row r="590" spans="1:32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</row>
    <row r="591" spans="1:32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</row>
    <row r="592" spans="1:3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</row>
    <row r="593" spans="1:32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</row>
    <row r="594" spans="1:32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</row>
    <row r="595" spans="1:32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</row>
    <row r="596" spans="1:32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</row>
    <row r="597" spans="1:32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</row>
    <row r="598" spans="1:32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</row>
    <row r="599" spans="1:32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</row>
    <row r="600" spans="1:32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</row>
    <row r="601" spans="1:32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</row>
    <row r="602" spans="1:3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</row>
    <row r="603" spans="1:32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</row>
    <row r="604" spans="1:32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</row>
    <row r="605" spans="1:32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</row>
    <row r="606" spans="1:32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</row>
    <row r="607" spans="1:32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</row>
    <row r="608" spans="1:32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</row>
    <row r="609" spans="1:32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</row>
    <row r="610" spans="1:32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</row>
    <row r="611" spans="1:32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</row>
    <row r="612" spans="1:3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</row>
    <row r="613" spans="1:32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</row>
    <row r="614" spans="1:32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</row>
    <row r="615" spans="1:32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</row>
    <row r="616" spans="1:32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</row>
    <row r="617" spans="1:32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</row>
    <row r="618" spans="1:32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</row>
    <row r="619" spans="1:32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</row>
    <row r="620" spans="1:32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</row>
    <row r="621" spans="1:32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</row>
    <row r="622" spans="1:3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</row>
    <row r="623" spans="1:32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</row>
    <row r="624" spans="1:32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</row>
    <row r="625" spans="1:32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</row>
    <row r="626" spans="1:32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</row>
    <row r="627" spans="1:32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</row>
    <row r="628" spans="1:32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</row>
    <row r="629" spans="1:32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</row>
    <row r="630" spans="1:32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</row>
    <row r="631" spans="1:32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</row>
    <row r="632" spans="1: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</row>
    <row r="633" spans="1:32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</row>
    <row r="634" spans="1:32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</row>
    <row r="635" spans="1:32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</row>
    <row r="636" spans="1:32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</row>
    <row r="637" spans="1:32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</row>
    <row r="638" spans="1:32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</row>
    <row r="639" spans="1:32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</row>
    <row r="640" spans="1:32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</row>
    <row r="641" spans="1:32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</row>
    <row r="642" spans="1:3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</row>
    <row r="643" spans="1:32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</row>
    <row r="644" spans="1:32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</row>
    <row r="645" spans="1:32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</row>
    <row r="646" spans="1:32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</row>
    <row r="647" spans="1:32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</row>
    <row r="648" spans="1:32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</row>
    <row r="649" spans="1:32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</row>
    <row r="650" spans="1:32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</row>
    <row r="651" spans="1:32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</row>
    <row r="652" spans="1:3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</row>
    <row r="653" spans="1:32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</row>
    <row r="654" spans="1:32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</row>
    <row r="655" spans="1:32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</row>
    <row r="656" spans="1:32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</row>
    <row r="657" spans="1:32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</row>
    <row r="658" spans="1:32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</row>
    <row r="659" spans="1:32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</row>
    <row r="660" spans="1:32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</row>
    <row r="661" spans="1:32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</row>
    <row r="662" spans="1:3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</row>
    <row r="663" spans="1:32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</row>
    <row r="664" spans="1:32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</row>
    <row r="665" spans="1:32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</row>
    <row r="666" spans="1:32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</row>
    <row r="667" spans="1:32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</row>
    <row r="668" spans="1:32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</row>
    <row r="669" spans="1:32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</row>
    <row r="670" spans="1:32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</row>
    <row r="671" spans="1:32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</row>
    <row r="672" spans="1:3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</row>
    <row r="673" spans="1:32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</row>
    <row r="674" spans="1:32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</row>
    <row r="675" spans="1:32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</row>
    <row r="676" spans="1:32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</row>
    <row r="677" spans="1:32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</row>
    <row r="678" spans="1:32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</row>
    <row r="679" spans="1:32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</row>
    <row r="680" spans="1:32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</row>
    <row r="681" spans="1:32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</row>
    <row r="682" spans="1:3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</row>
    <row r="683" spans="1:32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</row>
    <row r="684" spans="1:32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</row>
    <row r="685" spans="1:32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</row>
    <row r="686" spans="1:32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</row>
    <row r="687" spans="1:32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</row>
    <row r="688" spans="1:32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</row>
    <row r="689" spans="1:32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</row>
    <row r="690" spans="1:32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</row>
    <row r="691" spans="1:32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</row>
    <row r="692" spans="1:3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</row>
    <row r="693" spans="1:32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</row>
    <row r="694" spans="1:32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</row>
    <row r="695" spans="1:32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</row>
    <row r="696" spans="1:32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</row>
    <row r="697" spans="1:32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</row>
    <row r="698" spans="1:32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</row>
    <row r="699" spans="1:32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</row>
    <row r="700" spans="1:32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</row>
    <row r="701" spans="1:32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</row>
    <row r="702" spans="1:3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</row>
    <row r="703" spans="1:32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</row>
    <row r="704" spans="1:32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</row>
    <row r="705" spans="1:32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</row>
    <row r="706" spans="1:32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</row>
    <row r="707" spans="1:32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</row>
    <row r="708" spans="1:32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</row>
    <row r="709" spans="1:32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</row>
    <row r="710" spans="1:32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</row>
    <row r="711" spans="1:32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</row>
    <row r="712" spans="1:3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</row>
    <row r="713" spans="1:32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</row>
    <row r="714" spans="1:32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</row>
    <row r="715" spans="1:32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</row>
    <row r="716" spans="1:32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</row>
    <row r="717" spans="1:32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</row>
    <row r="718" spans="1:32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</row>
    <row r="719" spans="1:32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</row>
    <row r="720" spans="1:32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</row>
    <row r="721" spans="1:32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</row>
    <row r="722" spans="1:3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</row>
    <row r="723" spans="1:32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</row>
    <row r="724" spans="1:32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</row>
    <row r="725" spans="1:32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</row>
    <row r="726" spans="1:32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</row>
    <row r="727" spans="1:32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</row>
    <row r="728" spans="1:32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</row>
    <row r="729" spans="1:32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</row>
    <row r="730" spans="1:32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</row>
    <row r="731" spans="1:32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</row>
    <row r="732" spans="1: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</row>
    <row r="733" spans="1:32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</row>
    <row r="734" spans="1:32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</row>
    <row r="735" spans="1:32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</row>
    <row r="736" spans="1:32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</row>
    <row r="737" spans="1:32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</row>
    <row r="738" spans="1:32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</row>
    <row r="739" spans="1:32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</row>
    <row r="740" spans="1:32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</row>
    <row r="741" spans="1:32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</row>
    <row r="742" spans="1:3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</row>
    <row r="743" spans="1:32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</row>
    <row r="744" spans="1:32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</row>
    <row r="745" spans="1:32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</row>
    <row r="746" spans="1:32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</row>
    <row r="747" spans="1:32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</row>
    <row r="748" spans="1:32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</row>
    <row r="749" spans="1:32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</row>
    <row r="750" spans="1:32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</row>
    <row r="751" spans="1:32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</row>
    <row r="752" spans="1:3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</row>
    <row r="753" spans="1:32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</row>
    <row r="754" spans="1:32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</row>
    <row r="755" spans="1:32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</row>
    <row r="756" spans="1:32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</row>
    <row r="757" spans="1:32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</row>
    <row r="758" spans="1:32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</row>
    <row r="759" spans="1:32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</row>
    <row r="760" spans="1:32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</row>
    <row r="761" spans="1:32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</row>
    <row r="762" spans="1:3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</row>
    <row r="763" spans="1:32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</row>
    <row r="764" spans="1:32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</row>
    <row r="765" spans="1:32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</row>
    <row r="766" spans="1:32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</row>
    <row r="767" spans="1:32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</row>
    <row r="768" spans="1:32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</row>
    <row r="769" spans="1:32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</row>
    <row r="770" spans="1:32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</row>
    <row r="771" spans="1:32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</row>
    <row r="772" spans="1:3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</row>
    <row r="773" spans="1:32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</row>
    <row r="774" spans="1:32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</row>
    <row r="775" spans="1:32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</row>
    <row r="776" spans="1:32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</row>
    <row r="777" spans="1:32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</row>
    <row r="778" spans="1:32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</row>
    <row r="779" spans="1:32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</row>
    <row r="780" spans="1:32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</row>
    <row r="781" spans="1:32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</row>
    <row r="782" spans="1:3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</row>
    <row r="783" spans="1:32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</row>
    <row r="784" spans="1:32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</row>
    <row r="785" spans="1:32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</row>
    <row r="786" spans="1:32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</row>
    <row r="787" spans="1:32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</row>
    <row r="788" spans="1:32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</row>
    <row r="789" spans="1:32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</row>
    <row r="790" spans="1:32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</row>
    <row r="791" spans="1:32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</row>
    <row r="792" spans="1:3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</row>
    <row r="793" spans="1:32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</row>
    <row r="794" spans="1:32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</row>
    <row r="795" spans="1:32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</row>
    <row r="796" spans="1:32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</row>
    <row r="797" spans="1:32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</row>
    <row r="798" spans="1:32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</row>
    <row r="799" spans="1:32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</row>
    <row r="800" spans="1:32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</row>
    <row r="801" spans="1:32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</row>
    <row r="802" spans="1:3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</row>
    <row r="803" spans="1:32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</row>
    <row r="804" spans="1:32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</row>
    <row r="805" spans="1:32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</row>
    <row r="806" spans="1:32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</row>
    <row r="807" spans="1:32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</row>
    <row r="808" spans="1:32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</row>
    <row r="809" spans="1:32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</row>
    <row r="810" spans="1:32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</row>
    <row r="811" spans="1:32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</row>
    <row r="812" spans="1:3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</row>
    <row r="813" spans="1:32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</row>
    <row r="814" spans="1:32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</row>
    <row r="815" spans="1:32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</row>
    <row r="816" spans="1:32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</row>
    <row r="817" spans="1:32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</row>
    <row r="818" spans="1:32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</row>
    <row r="819" spans="1:32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</row>
    <row r="820" spans="1:32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</row>
    <row r="821" spans="1:32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</row>
    <row r="822" spans="1:3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</row>
    <row r="823" spans="1:32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</row>
    <row r="824" spans="1:32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</row>
    <row r="825" spans="1:32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</row>
    <row r="826" spans="1:32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</row>
    <row r="827" spans="1:32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</row>
    <row r="828" spans="1:32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</row>
    <row r="829" spans="1:32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</row>
    <row r="830" spans="1:32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</row>
    <row r="831" spans="1:32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</row>
    <row r="832" spans="1: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</row>
    <row r="833" spans="1:32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</row>
    <row r="834" spans="1:32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</row>
    <row r="835" spans="1:32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</row>
    <row r="836" spans="1:32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</row>
    <row r="837" spans="1:32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</row>
    <row r="838" spans="1:32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</row>
    <row r="839" spans="1:32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</row>
    <row r="840" spans="1:32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</row>
    <row r="841" spans="1:32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</row>
    <row r="842" spans="1:3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</row>
    <row r="843" spans="1:32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</row>
    <row r="844" spans="1:32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</row>
    <row r="845" spans="1:32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</row>
    <row r="846" spans="1:32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</row>
    <row r="847" spans="1:32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</row>
    <row r="848" spans="1:32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</row>
    <row r="849" spans="1:32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</row>
    <row r="850" spans="1:32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</row>
    <row r="851" spans="1:32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</row>
    <row r="852" spans="1:3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</row>
    <row r="853" spans="1:32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</row>
    <row r="854" spans="1:32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</row>
    <row r="855" spans="1:32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</row>
    <row r="856" spans="1:32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</row>
    <row r="857" spans="1:32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</row>
    <row r="858" spans="1:32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</row>
    <row r="859" spans="1:32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</row>
    <row r="860" spans="1:32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</row>
    <row r="861" spans="1:32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</row>
    <row r="862" spans="1:3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</row>
    <row r="863" spans="1:32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</row>
    <row r="864" spans="1:32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</row>
    <row r="865" spans="1:32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</row>
    <row r="866" spans="1:32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</row>
    <row r="867" spans="1:32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</row>
    <row r="868" spans="1:32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</row>
    <row r="869" spans="1:32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</row>
    <row r="870" spans="1:32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</row>
    <row r="871" spans="1:32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</row>
    <row r="872" spans="1:3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</row>
    <row r="873" spans="1:32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</row>
    <row r="874" spans="1:32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</row>
    <row r="875" spans="1:32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</row>
    <row r="876" spans="1:32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</row>
    <row r="877" spans="1:32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</row>
    <row r="878" spans="1:32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</row>
    <row r="879" spans="1:32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</row>
    <row r="880" spans="1:32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</row>
    <row r="881" spans="1:32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</row>
    <row r="882" spans="1:3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</row>
    <row r="883" spans="1:32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</row>
    <row r="884" spans="1:32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</row>
    <row r="885" spans="1:32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</row>
    <row r="886" spans="1:32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</row>
    <row r="887" spans="1:32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</row>
    <row r="888" spans="1:32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</row>
    <row r="889" spans="1:32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</row>
    <row r="890" spans="1:32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</row>
    <row r="891" spans="1:32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</row>
    <row r="892" spans="1:3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</row>
    <row r="893" spans="1:32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</row>
    <row r="894" spans="1:32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</row>
    <row r="895" spans="1:32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</row>
    <row r="896" spans="1:32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</row>
    <row r="897" spans="1:32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</row>
    <row r="898" spans="1:32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</row>
    <row r="899" spans="1:32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</row>
    <row r="900" spans="1:32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</row>
    <row r="901" spans="1:32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</row>
    <row r="902" spans="1:3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</row>
    <row r="903" spans="1:32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</row>
    <row r="904" spans="1:32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</row>
    <row r="905" spans="1:32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</row>
    <row r="906" spans="1:32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</row>
    <row r="907" spans="1:32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</row>
    <row r="908" spans="1:32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</row>
    <row r="909" spans="1:32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</row>
    <row r="910" spans="1:32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</row>
    <row r="911" spans="1:32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</row>
    <row r="912" spans="1:3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</row>
    <row r="913" spans="1:32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</row>
    <row r="914" spans="1:32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</row>
    <row r="915" spans="1:32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</row>
    <row r="916" spans="1:32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</row>
    <row r="917" spans="1:32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</row>
    <row r="918" spans="1:32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</row>
    <row r="919" spans="1:32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</row>
    <row r="920" spans="1:32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</row>
    <row r="921" spans="1:32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</row>
    <row r="922" spans="1:3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</row>
    <row r="923" spans="1:32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</row>
    <row r="924" spans="1:32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</row>
    <row r="925" spans="1:32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</row>
    <row r="926" spans="1:32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</row>
    <row r="927" spans="1:32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</row>
    <row r="928" spans="1:32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</row>
    <row r="929" spans="1:32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</row>
    <row r="930" spans="1:32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</row>
    <row r="931" spans="1:32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</row>
    <row r="932" spans="1: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</row>
    <row r="933" spans="1:32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</row>
    <row r="934" spans="1:32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</row>
    <row r="935" spans="1:32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</row>
    <row r="936" spans="1:32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</row>
    <row r="937" spans="1:32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</row>
    <row r="938" spans="1:32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</row>
    <row r="939" spans="1:32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</row>
    <row r="940" spans="1:32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</row>
    <row r="941" spans="1:32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</row>
    <row r="942" spans="1:3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</row>
    <row r="943" spans="1:32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</row>
    <row r="944" spans="1:32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</row>
    <row r="945" spans="1:32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</row>
    <row r="946" spans="1:32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</row>
    <row r="947" spans="1:32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</row>
    <row r="948" spans="1:32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</row>
    <row r="949" spans="1:32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</row>
    <row r="950" spans="1:32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</row>
    <row r="951" spans="1:32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</row>
    <row r="952" spans="1:3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</row>
    <row r="953" spans="1:32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</row>
    <row r="954" spans="1:32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</row>
    <row r="955" spans="1:32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</row>
    <row r="956" spans="1:32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</row>
    <row r="957" spans="1:32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</row>
    <row r="958" spans="1:32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</row>
    <row r="959" spans="1:32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</row>
    <row r="960" spans="1:32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</row>
    <row r="961" spans="1:32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</row>
    <row r="962" spans="1:3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</row>
    <row r="963" spans="1:32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</row>
    <row r="964" spans="1:32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</row>
    <row r="965" spans="1:32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</row>
    <row r="966" spans="1:32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</row>
    <row r="967" spans="1:32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</row>
    <row r="968" spans="1:32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</row>
    <row r="969" spans="1:32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</row>
    <row r="970" spans="1:32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</row>
    <row r="971" spans="1:32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</row>
    <row r="972" spans="1:3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F972" s="29"/>
    </row>
    <row r="973" spans="1:32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</row>
    <row r="974" spans="1:32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</row>
    <row r="975" spans="1:32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</row>
    <row r="976" spans="1:32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F976" s="29"/>
    </row>
    <row r="977" spans="1:32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</row>
    <row r="978" spans="1:32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  <c r="AF978" s="29"/>
    </row>
    <row r="979" spans="1:32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29"/>
    </row>
    <row r="980" spans="1:32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29"/>
    </row>
    <row r="981" spans="1:32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  <c r="AF981" s="29"/>
    </row>
    <row r="982" spans="1:3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  <c r="AF982" s="29"/>
    </row>
    <row r="983" spans="1:32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F983" s="29"/>
    </row>
    <row r="984" spans="1:32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  <c r="AF984" s="29"/>
    </row>
    <row r="985" spans="1:32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  <c r="AF985" s="29"/>
    </row>
    <row r="986" spans="1:32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  <c r="AF986" s="29"/>
    </row>
    <row r="987" spans="1:32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F987" s="29"/>
    </row>
    <row r="988" spans="1:32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  <c r="AF988" s="29"/>
    </row>
    <row r="989" spans="1:32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F989" s="29"/>
    </row>
    <row r="990" spans="1:32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</row>
    <row r="991" spans="1:32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</row>
    <row r="992" spans="1:3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</row>
    <row r="993" spans="1:32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  <c r="AF993" s="29"/>
    </row>
    <row r="994" spans="1:32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  <c r="AF994" s="29"/>
    </row>
    <row r="995" spans="1:32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9"/>
      <c r="AF995" s="29"/>
    </row>
    <row r="996" spans="1:32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  <c r="AE996" s="29"/>
      <c r="AF996" s="29"/>
    </row>
    <row r="997" spans="1:32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  <c r="AE997" s="29"/>
      <c r="AF997" s="29"/>
    </row>
    <row r="998" spans="1:32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  <c r="AE998" s="29"/>
      <c r="AF998" s="29"/>
    </row>
    <row r="999" spans="1:32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  <c r="AE999" s="29"/>
      <c r="AF999" s="29"/>
    </row>
    <row r="1000" spans="1:32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  <c r="AC1000" s="29"/>
      <c r="AD1000" s="29"/>
      <c r="AE1000" s="29"/>
      <c r="AF1000" s="29"/>
    </row>
    <row r="1001" spans="1:32">
      <c r="A1001" s="29"/>
      <c r="B1001" s="29"/>
      <c r="C1001" s="29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  <c r="AA1001" s="29"/>
      <c r="AB1001" s="29"/>
      <c r="AC1001" s="29"/>
      <c r="AD1001" s="29"/>
      <c r="AE1001" s="29"/>
      <c r="AF1001" s="29"/>
    </row>
    <row r="1002" spans="1:32">
      <c r="A1002" s="29"/>
      <c r="B1002" s="29"/>
      <c r="C1002" s="29"/>
      <c r="D1002" s="29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  <c r="AA1002" s="29"/>
      <c r="AB1002" s="29"/>
      <c r="AC1002" s="29"/>
      <c r="AD1002" s="29"/>
      <c r="AE1002" s="29"/>
      <c r="AF1002" s="29"/>
    </row>
    <row r="1003" spans="1:32">
      <c r="A1003" s="29"/>
      <c r="B1003" s="29"/>
      <c r="C1003" s="29"/>
      <c r="D1003" s="29"/>
      <c r="E1003" s="29"/>
      <c r="F1003" s="29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  <c r="AA1003" s="29"/>
      <c r="AB1003" s="29"/>
      <c r="AC1003" s="29"/>
      <c r="AD1003" s="29"/>
      <c r="AE1003" s="29"/>
      <c r="AF1003" s="29"/>
    </row>
    <row r="1004" spans="1:32">
      <c r="A1004" s="29"/>
      <c r="B1004" s="29"/>
      <c r="C1004" s="29"/>
      <c r="D1004" s="29"/>
      <c r="E1004" s="29"/>
      <c r="F1004" s="29"/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  <c r="Z1004" s="29"/>
      <c r="AA1004" s="29"/>
      <c r="AB1004" s="29"/>
      <c r="AC1004" s="29"/>
      <c r="AD1004" s="29"/>
      <c r="AE1004" s="29"/>
      <c r="AF1004" s="29"/>
    </row>
    <row r="1005" spans="1:32">
      <c r="A1005" s="29"/>
      <c r="B1005" s="29"/>
      <c r="C1005" s="29"/>
      <c r="D1005" s="29"/>
      <c r="E1005" s="29"/>
      <c r="F1005" s="29"/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  <c r="Z1005" s="29"/>
      <c r="AA1005" s="29"/>
      <c r="AB1005" s="29"/>
      <c r="AC1005" s="29"/>
      <c r="AD1005" s="29"/>
      <c r="AE1005" s="29"/>
      <c r="AF1005" s="29"/>
    </row>
    <row r="1006" spans="1:32">
      <c r="A1006" s="29"/>
      <c r="B1006" s="29"/>
      <c r="C1006" s="29"/>
      <c r="D1006" s="29"/>
      <c r="E1006" s="29"/>
      <c r="F1006" s="29"/>
      <c r="G1006" s="29"/>
      <c r="H1006" s="29"/>
      <c r="I1006" s="29"/>
      <c r="J1006" s="29"/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  <c r="Z1006" s="29"/>
      <c r="AA1006" s="29"/>
      <c r="AB1006" s="29"/>
      <c r="AC1006" s="29"/>
      <c r="AD1006" s="29"/>
      <c r="AE1006" s="29"/>
      <c r="AF1006" s="29"/>
    </row>
    <row r="1007" spans="1:32">
      <c r="A1007" s="29"/>
      <c r="B1007" s="29"/>
      <c r="C1007" s="29"/>
      <c r="D1007" s="29"/>
      <c r="E1007" s="29"/>
      <c r="F1007" s="29"/>
      <c r="G1007" s="29"/>
      <c r="H1007" s="29"/>
      <c r="I1007" s="29"/>
      <c r="J1007" s="29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  <c r="Z1007" s="29"/>
      <c r="AA1007" s="29"/>
      <c r="AB1007" s="29"/>
      <c r="AC1007" s="29"/>
      <c r="AD1007" s="29"/>
      <c r="AE1007" s="29"/>
      <c r="AF1007" s="29"/>
    </row>
    <row r="1008" spans="1:32">
      <c r="A1008" s="29"/>
      <c r="B1008" s="29"/>
      <c r="C1008" s="29"/>
      <c r="D1008" s="29"/>
      <c r="E1008" s="29"/>
      <c r="F1008" s="29"/>
      <c r="G1008" s="29"/>
      <c r="H1008" s="29"/>
      <c r="I1008" s="29"/>
      <c r="J1008" s="29"/>
      <c r="K1008" s="29"/>
      <c r="L1008" s="29"/>
      <c r="M1008" s="29"/>
      <c r="N1008" s="29"/>
      <c r="O1008" s="29"/>
      <c r="P1008" s="29"/>
      <c r="Q1008" s="29"/>
      <c r="R1008" s="29"/>
      <c r="S1008" s="29"/>
      <c r="T1008" s="29"/>
      <c r="U1008" s="29"/>
      <c r="V1008" s="29"/>
      <c r="W1008" s="29"/>
      <c r="X1008" s="29"/>
      <c r="Y1008" s="29"/>
      <c r="Z1008" s="29"/>
      <c r="AA1008" s="29"/>
      <c r="AB1008" s="29"/>
      <c r="AC1008" s="29"/>
      <c r="AD1008" s="29"/>
      <c r="AE1008" s="29"/>
      <c r="AF1008" s="29"/>
    </row>
    <row r="1009" spans="1:32">
      <c r="A1009" s="29"/>
      <c r="B1009" s="29"/>
      <c r="C1009" s="29"/>
      <c r="D1009" s="29"/>
      <c r="E1009" s="29"/>
      <c r="F1009" s="29"/>
      <c r="G1009" s="29"/>
      <c r="H1009" s="29"/>
      <c r="I1009" s="29"/>
      <c r="J1009" s="29"/>
      <c r="K1009" s="29"/>
      <c r="L1009" s="29"/>
      <c r="M1009" s="29"/>
      <c r="N1009" s="29"/>
      <c r="O1009" s="29"/>
      <c r="P1009" s="29"/>
      <c r="Q1009" s="29"/>
      <c r="R1009" s="29"/>
      <c r="S1009" s="29"/>
      <c r="T1009" s="29"/>
      <c r="U1009" s="29"/>
      <c r="V1009" s="29"/>
      <c r="W1009" s="29"/>
      <c r="X1009" s="29"/>
      <c r="Y1009" s="29"/>
      <c r="Z1009" s="29"/>
      <c r="AA1009" s="29"/>
      <c r="AB1009" s="29"/>
      <c r="AC1009" s="29"/>
      <c r="AD1009" s="29"/>
      <c r="AE1009" s="29"/>
      <c r="AF1009" s="29"/>
    </row>
    <row r="1010" spans="1:32">
      <c r="A1010" s="29"/>
      <c r="B1010" s="29"/>
      <c r="C1010" s="29"/>
      <c r="D1010" s="29"/>
      <c r="E1010" s="29"/>
      <c r="F1010" s="29"/>
      <c r="G1010" s="29"/>
      <c r="H1010" s="29"/>
      <c r="I1010" s="29"/>
      <c r="J1010" s="29"/>
      <c r="K1010" s="29"/>
      <c r="L1010" s="29"/>
      <c r="M1010" s="29"/>
      <c r="N1010" s="29"/>
      <c r="O1010" s="29"/>
      <c r="P1010" s="29"/>
      <c r="Q1010" s="29"/>
      <c r="R1010" s="29"/>
      <c r="S1010" s="29"/>
      <c r="T1010" s="29"/>
      <c r="U1010" s="29"/>
      <c r="V1010" s="29"/>
      <c r="W1010" s="29"/>
      <c r="X1010" s="29"/>
      <c r="Y1010" s="29"/>
      <c r="Z1010" s="29"/>
      <c r="AA1010" s="29"/>
      <c r="AB1010" s="29"/>
      <c r="AC1010" s="29"/>
      <c r="AD1010" s="29"/>
      <c r="AE1010" s="29"/>
      <c r="AF1010" s="29"/>
    </row>
    <row r="1011" spans="1:32">
      <c r="A1011" s="29"/>
      <c r="B1011" s="29"/>
      <c r="C1011" s="29"/>
      <c r="D1011" s="29"/>
      <c r="E1011" s="29"/>
      <c r="F1011" s="29"/>
      <c r="G1011" s="29"/>
      <c r="H1011" s="29"/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/>
      <c r="U1011" s="29"/>
      <c r="V1011" s="29"/>
      <c r="W1011" s="29"/>
      <c r="X1011" s="29"/>
      <c r="Y1011" s="29"/>
      <c r="Z1011" s="29"/>
      <c r="AA1011" s="29"/>
      <c r="AB1011" s="29"/>
      <c r="AC1011" s="29"/>
      <c r="AD1011" s="29"/>
      <c r="AE1011" s="29"/>
      <c r="AF1011" s="29"/>
    </row>
    <row r="1012" spans="1:32">
      <c r="A1012" s="29"/>
      <c r="B1012" s="29"/>
      <c r="C1012" s="29"/>
      <c r="D1012" s="29"/>
      <c r="E1012" s="29"/>
      <c r="F1012" s="29"/>
      <c r="G1012" s="29"/>
      <c r="H1012" s="29"/>
      <c r="I1012" s="29"/>
      <c r="J1012" s="29"/>
      <c r="K1012" s="29"/>
      <c r="L1012" s="29"/>
      <c r="M1012" s="29"/>
      <c r="N1012" s="29"/>
      <c r="O1012" s="29"/>
      <c r="P1012" s="29"/>
      <c r="Q1012" s="29"/>
      <c r="R1012" s="29"/>
      <c r="S1012" s="29"/>
      <c r="T1012" s="29"/>
      <c r="U1012" s="29"/>
      <c r="V1012" s="29"/>
      <c r="W1012" s="29"/>
      <c r="X1012" s="29"/>
      <c r="Y1012" s="29"/>
      <c r="Z1012" s="29"/>
      <c r="AA1012" s="29"/>
      <c r="AB1012" s="29"/>
      <c r="AC1012" s="29"/>
      <c r="AD1012" s="29"/>
      <c r="AE1012" s="29"/>
      <c r="AF1012" s="29"/>
    </row>
  </sheetData>
  <mergeCells count="1">
    <mergeCell ref="D1:J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H1012"/>
  <sheetViews>
    <sheetView workbookViewId="0"/>
  </sheetViews>
  <sheetFormatPr defaultColWidth="14.453125" defaultRowHeight="15" customHeight="1"/>
  <cols>
    <col min="3" max="4" width="24.54296875" customWidth="1"/>
    <col min="5" max="5" width="40.81640625" customWidth="1"/>
    <col min="6" max="6" width="5.26953125" customWidth="1"/>
    <col min="7" max="7" width="5.54296875" customWidth="1"/>
    <col min="8" max="8" width="29.7265625" customWidth="1"/>
    <col min="9" max="9" width="6.453125" customWidth="1"/>
    <col min="10" max="10" width="6.81640625" customWidth="1"/>
    <col min="11" max="11" width="31.7265625" customWidth="1"/>
    <col min="12" max="12" width="5.81640625" customWidth="1"/>
    <col min="13" max="13" width="5.08984375" customWidth="1"/>
    <col min="14" max="14" width="18.26953125" customWidth="1"/>
    <col min="15" max="15" width="4.7265625" customWidth="1"/>
    <col min="16" max="16" width="4.54296875" customWidth="1"/>
  </cols>
  <sheetData>
    <row r="1" spans="1:34">
      <c r="A1" s="1" t="s">
        <v>37</v>
      </c>
      <c r="B1" s="1" t="s">
        <v>38</v>
      </c>
      <c r="C1" s="1" t="s">
        <v>39</v>
      </c>
      <c r="D1" s="1" t="s">
        <v>40</v>
      </c>
      <c r="E1" s="49" t="s">
        <v>41</v>
      </c>
      <c r="F1" s="46"/>
      <c r="G1" s="46"/>
      <c r="H1" s="46"/>
      <c r="I1" s="46"/>
      <c r="J1" s="46"/>
      <c r="K1" s="46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</row>
    <row r="2" spans="1:34">
      <c r="A2" s="29"/>
      <c r="B2" s="29"/>
      <c r="C2" s="29"/>
      <c r="D2" s="29"/>
      <c r="E2" s="31" t="s">
        <v>42</v>
      </c>
      <c r="F2" s="2" t="s">
        <v>15</v>
      </c>
      <c r="G2" s="2" t="s">
        <v>44</v>
      </c>
      <c r="H2" s="2" t="s">
        <v>6</v>
      </c>
      <c r="I2" s="2"/>
      <c r="J2" s="2"/>
      <c r="K2" s="2" t="s">
        <v>45</v>
      </c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</row>
    <row r="3" spans="1:34">
      <c r="A3" s="29" t="s">
        <v>594</v>
      </c>
      <c r="B3" s="29" t="s">
        <v>47</v>
      </c>
      <c r="C3" s="29" t="s">
        <v>3</v>
      </c>
      <c r="D3" s="29" t="s">
        <v>543</v>
      </c>
      <c r="E3" s="29" t="s">
        <v>595</v>
      </c>
      <c r="F3" s="29">
        <v>4</v>
      </c>
      <c r="G3" s="29">
        <v>5.35</v>
      </c>
      <c r="H3" s="29">
        <v>4</v>
      </c>
      <c r="I3" s="29"/>
      <c r="J3" s="29"/>
      <c r="K3" s="29" t="s">
        <v>596</v>
      </c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</row>
    <row r="4" spans="1:34">
      <c r="A4" s="29" t="s">
        <v>597</v>
      </c>
      <c r="B4" s="29" t="s">
        <v>47</v>
      </c>
      <c r="C4" s="29" t="s">
        <v>3</v>
      </c>
      <c r="D4" s="29" t="s">
        <v>598</v>
      </c>
      <c r="E4" s="29" t="s">
        <v>599</v>
      </c>
      <c r="F4" s="29">
        <v>3</v>
      </c>
      <c r="G4" s="29">
        <v>4.38</v>
      </c>
      <c r="H4" s="29">
        <v>2</v>
      </c>
      <c r="I4" s="29"/>
      <c r="J4" s="29"/>
      <c r="K4" s="29" t="s">
        <v>600</v>
      </c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</row>
    <row r="5" spans="1:34">
      <c r="A5" s="29"/>
      <c r="B5" s="29"/>
      <c r="C5" s="29"/>
      <c r="D5" s="29"/>
      <c r="E5" s="2"/>
      <c r="F5" s="2"/>
      <c r="G5" s="2"/>
      <c r="H5" s="2"/>
      <c r="I5" s="2"/>
      <c r="J5" s="2"/>
      <c r="K5" s="2"/>
      <c r="L5" s="2"/>
      <c r="M5" s="2"/>
      <c r="N5" s="2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</row>
    <row r="6" spans="1:34">
      <c r="A6" s="29"/>
      <c r="B6" s="29"/>
      <c r="C6" s="29"/>
      <c r="D6" s="29"/>
      <c r="E6" s="2" t="s">
        <v>56</v>
      </c>
      <c r="F6" s="2" t="s">
        <v>601</v>
      </c>
      <c r="G6" s="2" t="s">
        <v>58</v>
      </c>
      <c r="H6" s="2" t="s">
        <v>59</v>
      </c>
      <c r="I6" s="2" t="s">
        <v>602</v>
      </c>
      <c r="J6" s="2" t="s">
        <v>58</v>
      </c>
      <c r="K6" s="2" t="s">
        <v>60</v>
      </c>
      <c r="L6" s="2" t="s">
        <v>557</v>
      </c>
      <c r="M6" s="2" t="s">
        <v>43</v>
      </c>
      <c r="N6" s="2" t="s">
        <v>45</v>
      </c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</row>
    <row r="7" spans="1:34">
      <c r="A7" s="29" t="s">
        <v>603</v>
      </c>
      <c r="B7" s="29" t="s">
        <v>185</v>
      </c>
      <c r="C7" s="29" t="s">
        <v>63</v>
      </c>
      <c r="D7" s="29" t="s">
        <v>209</v>
      </c>
      <c r="E7" s="29" t="s">
        <v>604</v>
      </c>
      <c r="F7" s="29">
        <v>73</v>
      </c>
      <c r="G7" s="29">
        <v>0.53</v>
      </c>
      <c r="H7" s="29" t="s">
        <v>605</v>
      </c>
      <c r="I7" s="29">
        <v>16</v>
      </c>
      <c r="J7" s="29">
        <v>0.35</v>
      </c>
      <c r="K7" s="29" t="s">
        <v>606</v>
      </c>
      <c r="L7" s="29">
        <v>32</v>
      </c>
      <c r="M7" s="29">
        <v>4</v>
      </c>
      <c r="N7" s="29">
        <v>44</v>
      </c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</row>
    <row r="8" spans="1:34">
      <c r="A8" s="29" t="s">
        <v>607</v>
      </c>
      <c r="B8" s="29" t="s">
        <v>174</v>
      </c>
      <c r="C8" s="29" t="s">
        <v>63</v>
      </c>
      <c r="D8" s="29" t="s">
        <v>215</v>
      </c>
      <c r="E8" s="29" t="s">
        <v>608</v>
      </c>
      <c r="F8" s="29">
        <v>28</v>
      </c>
      <c r="G8" s="29">
        <v>0.55000000000000004</v>
      </c>
      <c r="H8" s="29" t="s">
        <v>609</v>
      </c>
      <c r="I8" s="29">
        <v>12</v>
      </c>
      <c r="J8" s="29">
        <v>0.4</v>
      </c>
      <c r="K8" s="29" t="s">
        <v>610</v>
      </c>
      <c r="L8" s="29">
        <v>22</v>
      </c>
      <c r="M8" s="29">
        <v>4</v>
      </c>
      <c r="N8" s="29">
        <v>36</v>
      </c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</row>
    <row r="9" spans="1:34">
      <c r="A9" s="29" t="s">
        <v>611</v>
      </c>
      <c r="B9" s="29" t="s">
        <v>174</v>
      </c>
      <c r="C9" s="29" t="s">
        <v>63</v>
      </c>
      <c r="D9" s="29" t="s">
        <v>612</v>
      </c>
      <c r="E9" s="29" t="s">
        <v>613</v>
      </c>
      <c r="F9" s="29">
        <v>10</v>
      </c>
      <c r="G9" s="29">
        <v>0.43</v>
      </c>
      <c r="H9" s="29" t="s">
        <v>375</v>
      </c>
      <c r="I9" s="29">
        <v>17</v>
      </c>
      <c r="J9" s="29">
        <v>0.44</v>
      </c>
      <c r="K9" s="29" t="s">
        <v>614</v>
      </c>
      <c r="L9" s="29">
        <v>10</v>
      </c>
      <c r="M9" s="29">
        <v>1</v>
      </c>
      <c r="N9" s="29">
        <v>23</v>
      </c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</row>
    <row r="10" spans="1:34">
      <c r="A10" s="29" t="s">
        <v>615</v>
      </c>
      <c r="B10" s="29" t="s">
        <v>185</v>
      </c>
      <c r="C10" s="29" t="s">
        <v>63</v>
      </c>
      <c r="D10" s="29" t="s">
        <v>616</v>
      </c>
      <c r="E10" s="29" t="s">
        <v>617</v>
      </c>
      <c r="F10" s="29">
        <v>8</v>
      </c>
      <c r="G10" s="29">
        <v>0.36</v>
      </c>
      <c r="H10" s="29" t="s">
        <v>618</v>
      </c>
      <c r="I10" s="29">
        <v>1</v>
      </c>
      <c r="J10" s="29">
        <v>0.8</v>
      </c>
      <c r="K10" s="29" t="s">
        <v>619</v>
      </c>
      <c r="L10" s="29">
        <v>5</v>
      </c>
      <c r="M10" s="29">
        <v>0</v>
      </c>
      <c r="N10" s="29">
        <v>16</v>
      </c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</row>
    <row r="11" spans="1:34">
      <c r="A11" s="29"/>
      <c r="B11" s="29"/>
      <c r="C11" s="29"/>
      <c r="D11" s="29"/>
      <c r="E11" s="2"/>
      <c r="F11" s="2"/>
      <c r="G11" s="2"/>
      <c r="H11" s="2"/>
      <c r="I11" s="2"/>
      <c r="J11" s="2"/>
      <c r="K11" s="2"/>
      <c r="L11" s="2"/>
      <c r="M11" s="2"/>
      <c r="N11" s="2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</row>
    <row r="12" spans="1:34">
      <c r="A12" s="29"/>
      <c r="B12" s="29"/>
      <c r="C12" s="29"/>
      <c r="D12" s="29"/>
      <c r="E12" s="2" t="s">
        <v>94</v>
      </c>
      <c r="F12" s="2" t="s">
        <v>57</v>
      </c>
      <c r="G12" s="2" t="s">
        <v>58</v>
      </c>
      <c r="H12" s="2" t="s">
        <v>95</v>
      </c>
      <c r="I12" s="2" t="s">
        <v>57</v>
      </c>
      <c r="J12" s="2" t="s">
        <v>58</v>
      </c>
      <c r="K12" s="2" t="s">
        <v>96</v>
      </c>
      <c r="L12" s="2" t="s">
        <v>568</v>
      </c>
      <c r="M12" s="2" t="s">
        <v>569</v>
      </c>
      <c r="N12" s="2" t="s">
        <v>31</v>
      </c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</row>
    <row r="13" spans="1:34">
      <c r="A13" s="29" t="s">
        <v>620</v>
      </c>
      <c r="B13" s="29" t="s">
        <v>107</v>
      </c>
      <c r="C13" s="29" t="s">
        <v>101</v>
      </c>
      <c r="D13" s="29" t="s">
        <v>132</v>
      </c>
      <c r="E13" s="29" t="s">
        <v>621</v>
      </c>
      <c r="F13" s="29">
        <v>652</v>
      </c>
      <c r="G13" s="29">
        <v>0.81</v>
      </c>
      <c r="H13" s="29" t="s">
        <v>622</v>
      </c>
      <c r="I13" s="29">
        <v>74</v>
      </c>
      <c r="J13" s="29">
        <v>0.64</v>
      </c>
      <c r="K13" s="29" t="s">
        <v>623</v>
      </c>
      <c r="L13" s="29">
        <v>101</v>
      </c>
      <c r="M13" s="29">
        <v>52</v>
      </c>
      <c r="N13" s="29">
        <v>13</v>
      </c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</row>
    <row r="14" spans="1:34">
      <c r="A14" s="29" t="s">
        <v>624</v>
      </c>
      <c r="B14" s="29" t="s">
        <v>113</v>
      </c>
      <c r="C14" s="29" t="s">
        <v>101</v>
      </c>
      <c r="D14" s="29" t="s">
        <v>132</v>
      </c>
      <c r="E14" s="29" t="s">
        <v>625</v>
      </c>
      <c r="F14" s="29">
        <v>569</v>
      </c>
      <c r="G14" s="29">
        <v>0.82</v>
      </c>
      <c r="H14" s="29" t="s">
        <v>626</v>
      </c>
      <c r="I14" s="29">
        <v>49</v>
      </c>
      <c r="J14" s="29">
        <v>0.7</v>
      </c>
      <c r="K14" s="29" t="s">
        <v>627</v>
      </c>
      <c r="L14" s="29">
        <v>87</v>
      </c>
      <c r="M14" s="29">
        <v>34</v>
      </c>
      <c r="N14" s="29">
        <v>4</v>
      </c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</row>
    <row r="15" spans="1:34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</row>
    <row r="16" spans="1:34">
      <c r="A16" s="29"/>
      <c r="B16" s="29"/>
      <c r="C16" s="29"/>
      <c r="D16" s="29"/>
      <c r="E16" s="29"/>
      <c r="F16" s="29" t="s">
        <v>57</v>
      </c>
      <c r="G16" s="29" t="s">
        <v>58</v>
      </c>
      <c r="H16" s="29"/>
      <c r="I16" s="29" t="s">
        <v>57</v>
      </c>
      <c r="J16" s="29" t="s">
        <v>58</v>
      </c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</row>
    <row r="17" spans="1:34">
      <c r="A17" s="29" t="s">
        <v>628</v>
      </c>
      <c r="B17" s="29" t="s">
        <v>220</v>
      </c>
      <c r="C17" s="29" t="s">
        <v>255</v>
      </c>
      <c r="D17" s="29" t="s">
        <v>629</v>
      </c>
      <c r="E17" s="29" t="s">
        <v>630</v>
      </c>
      <c r="F17" s="29">
        <v>385</v>
      </c>
      <c r="G17" s="29">
        <v>0.74</v>
      </c>
      <c r="H17" s="29" t="s">
        <v>631</v>
      </c>
      <c r="I17" s="29">
        <v>87</v>
      </c>
      <c r="J17" s="29">
        <v>0.66</v>
      </c>
      <c r="K17" s="29" t="s">
        <v>632</v>
      </c>
      <c r="L17" s="29"/>
      <c r="M17" s="29"/>
      <c r="N17" s="29">
        <v>4</v>
      </c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</row>
    <row r="18" spans="1:34">
      <c r="A18" s="29" t="s">
        <v>633</v>
      </c>
      <c r="B18" s="29" t="s">
        <v>214</v>
      </c>
      <c r="C18" s="29" t="s">
        <v>634</v>
      </c>
      <c r="D18" s="29" t="s">
        <v>424</v>
      </c>
      <c r="E18" s="29" t="s">
        <v>635</v>
      </c>
      <c r="F18" s="29">
        <v>287</v>
      </c>
      <c r="G18" s="29">
        <v>0.78</v>
      </c>
      <c r="H18" s="29" t="s">
        <v>636</v>
      </c>
      <c r="I18" s="29">
        <v>48</v>
      </c>
      <c r="J18" s="29">
        <v>0.68</v>
      </c>
      <c r="K18" s="29" t="s">
        <v>637</v>
      </c>
      <c r="L18" s="29"/>
      <c r="M18" s="29"/>
      <c r="N18" s="29">
        <v>3</v>
      </c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</row>
    <row r="19" spans="1:34">
      <c r="A19" s="29"/>
      <c r="B19" s="29"/>
      <c r="C19" s="29"/>
      <c r="D19" s="29"/>
      <c r="E19" s="2"/>
      <c r="F19" s="2"/>
      <c r="G19" s="2"/>
      <c r="H19" s="2"/>
      <c r="I19" s="2"/>
      <c r="J19" s="2"/>
      <c r="K19" s="2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</row>
    <row r="20" spans="1:34">
      <c r="A20" s="29"/>
      <c r="B20" s="29"/>
      <c r="C20" s="29"/>
      <c r="D20" s="29"/>
      <c r="E20" s="2" t="s">
        <v>118</v>
      </c>
      <c r="F20" s="2" t="s">
        <v>44</v>
      </c>
      <c r="G20" s="2" t="s">
        <v>119</v>
      </c>
      <c r="H20" s="2" t="s">
        <v>35</v>
      </c>
      <c r="I20" s="2"/>
      <c r="J20" s="2"/>
      <c r="K20" s="2" t="s">
        <v>120</v>
      </c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</row>
    <row r="21" spans="1:34">
      <c r="A21" s="29" t="s">
        <v>638</v>
      </c>
      <c r="B21" s="29" t="s">
        <v>122</v>
      </c>
      <c r="C21" s="29" t="s">
        <v>639</v>
      </c>
      <c r="D21" s="29" t="s">
        <v>132</v>
      </c>
      <c r="E21" s="29" t="s">
        <v>640</v>
      </c>
      <c r="F21" s="29">
        <v>16.399999999999999</v>
      </c>
      <c r="G21" s="29">
        <v>15</v>
      </c>
      <c r="H21" s="29">
        <v>0.88</v>
      </c>
      <c r="I21" s="29"/>
      <c r="J21" s="29"/>
      <c r="K21" s="40">
        <v>0.73</v>
      </c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</row>
    <row r="22" spans="1:34">
      <c r="A22" s="29"/>
      <c r="B22" s="29"/>
      <c r="C22" s="29"/>
      <c r="D22" s="29"/>
      <c r="E22" s="31"/>
      <c r="F22" s="31"/>
      <c r="G22" s="31"/>
      <c r="H22" s="31"/>
      <c r="I22" s="31"/>
      <c r="J22" s="31"/>
      <c r="K22" s="31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</row>
    <row r="23" spans="1:34">
      <c r="A23" s="29"/>
      <c r="B23" s="29"/>
      <c r="C23" s="29"/>
      <c r="D23" s="29"/>
      <c r="E23" s="31" t="s">
        <v>125</v>
      </c>
      <c r="F23" s="32" t="s">
        <v>57</v>
      </c>
      <c r="G23" s="32" t="s">
        <v>58</v>
      </c>
      <c r="H23" s="31" t="s">
        <v>126</v>
      </c>
      <c r="I23" s="32" t="s">
        <v>57</v>
      </c>
      <c r="J23" s="32" t="s">
        <v>58</v>
      </c>
      <c r="K23" s="31" t="s">
        <v>127</v>
      </c>
      <c r="L23" s="29" t="s">
        <v>128</v>
      </c>
      <c r="M23" s="29" t="s">
        <v>58</v>
      </c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</row>
    <row r="24" spans="1:34">
      <c r="A24" s="29" t="s">
        <v>641</v>
      </c>
      <c r="B24" s="29" t="s">
        <v>137</v>
      </c>
      <c r="C24" s="29" t="s">
        <v>642</v>
      </c>
      <c r="D24" s="29" t="s">
        <v>75</v>
      </c>
      <c r="E24" s="29" t="s">
        <v>643</v>
      </c>
      <c r="F24" s="29">
        <v>535</v>
      </c>
      <c r="G24" s="29">
        <v>0.72</v>
      </c>
      <c r="H24" s="29" t="s">
        <v>644</v>
      </c>
      <c r="I24" s="29">
        <v>23</v>
      </c>
      <c r="J24" s="29">
        <v>0.4</v>
      </c>
      <c r="K24" s="29" t="s">
        <v>645</v>
      </c>
      <c r="L24" s="29">
        <v>88</v>
      </c>
      <c r="M24" s="29">
        <v>0.75</v>
      </c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</row>
    <row r="25" spans="1:34">
      <c r="A25" s="29" t="s">
        <v>646</v>
      </c>
      <c r="B25" s="29" t="s">
        <v>235</v>
      </c>
      <c r="C25" s="29" t="s">
        <v>647</v>
      </c>
      <c r="D25" s="29" t="s">
        <v>648</v>
      </c>
      <c r="E25" s="29" t="s">
        <v>649</v>
      </c>
      <c r="F25" s="29">
        <v>525</v>
      </c>
      <c r="G25" s="29">
        <v>0.77</v>
      </c>
      <c r="H25" s="29" t="s">
        <v>650</v>
      </c>
      <c r="I25" s="29">
        <v>23</v>
      </c>
      <c r="J25" s="29">
        <v>0.53</v>
      </c>
      <c r="K25" s="29" t="s">
        <v>651</v>
      </c>
      <c r="L25" s="29">
        <v>70</v>
      </c>
      <c r="M25" s="29">
        <v>0.69</v>
      </c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</row>
    <row r="26" spans="1:34">
      <c r="A26" s="29" t="s">
        <v>652</v>
      </c>
      <c r="B26" s="29" t="s">
        <v>291</v>
      </c>
      <c r="C26" s="29" t="s">
        <v>647</v>
      </c>
      <c r="D26" s="29" t="s">
        <v>292</v>
      </c>
      <c r="E26" s="29" t="s">
        <v>653</v>
      </c>
      <c r="F26" s="29">
        <v>242</v>
      </c>
      <c r="G26" s="29">
        <v>0.76</v>
      </c>
      <c r="H26" s="29" t="s">
        <v>654</v>
      </c>
      <c r="I26" s="29">
        <v>9</v>
      </c>
      <c r="J26" s="29">
        <v>0.28999999999999998</v>
      </c>
      <c r="K26" s="29" t="s">
        <v>655</v>
      </c>
      <c r="L26" s="29">
        <v>39</v>
      </c>
      <c r="M26" s="29">
        <v>0.76</v>
      </c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</row>
    <row r="27" spans="1:34">
      <c r="A27" s="29" t="s">
        <v>656</v>
      </c>
      <c r="B27" s="29" t="s">
        <v>235</v>
      </c>
      <c r="C27" s="29" t="s">
        <v>642</v>
      </c>
      <c r="D27" s="29" t="s">
        <v>286</v>
      </c>
      <c r="E27" s="29" t="s">
        <v>657</v>
      </c>
      <c r="F27" s="29">
        <v>203</v>
      </c>
      <c r="G27" s="29">
        <v>0.79</v>
      </c>
      <c r="H27" s="29" t="s">
        <v>658</v>
      </c>
      <c r="I27" s="29">
        <v>10</v>
      </c>
      <c r="J27" s="29">
        <v>0.56000000000000005</v>
      </c>
      <c r="K27" s="29" t="s">
        <v>659</v>
      </c>
      <c r="L27" s="29">
        <v>35</v>
      </c>
      <c r="M27" s="29">
        <v>0.81</v>
      </c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</row>
    <row r="28" spans="1:34">
      <c r="A28" s="2"/>
      <c r="B28" s="2"/>
      <c r="C28" s="2"/>
      <c r="D28" s="2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</row>
    <row r="29" spans="1:34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</row>
    <row r="30" spans="1:34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</row>
    <row r="31" spans="1:34">
      <c r="A31" s="29"/>
      <c r="B31" s="29"/>
      <c r="C31" s="29">
        <f>COUNTIF($C$2:$C$26,"Center Back")</f>
        <v>2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</row>
    <row r="32" spans="1:34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</row>
    <row r="33" spans="1:34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</row>
    <row r="34" spans="1:34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</row>
    <row r="35" spans="1:34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</row>
    <row r="36" spans="1:34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</row>
    <row r="37" spans="1:34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</row>
    <row r="38" spans="1:34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</row>
    <row r="39" spans="1:34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</row>
    <row r="40" spans="1:34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</row>
    <row r="41" spans="1:34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</row>
    <row r="42" spans="1:34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</row>
    <row r="43" spans="1:34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</row>
    <row r="44" spans="1:34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</row>
    <row r="45" spans="1:34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</row>
    <row r="46" spans="1:34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</row>
    <row r="47" spans="1:34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</row>
    <row r="48" spans="1:34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</row>
    <row r="49" spans="1:34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</row>
    <row r="50" spans="1:34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</row>
    <row r="51" spans="1:34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</row>
    <row r="52" spans="1:34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</row>
    <row r="53" spans="1:34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</row>
    <row r="54" spans="1:3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</row>
    <row r="55" spans="1:34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</row>
    <row r="56" spans="1:34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</row>
    <row r="57" spans="1:34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</row>
    <row r="58" spans="1:34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</row>
    <row r="59" spans="1:34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</row>
    <row r="60" spans="1:34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</row>
    <row r="61" spans="1:34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</row>
    <row r="62" spans="1:34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</row>
    <row r="63" spans="1:34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</row>
    <row r="64" spans="1:34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</row>
    <row r="65" spans="1:34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</row>
    <row r="66" spans="1:34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</row>
    <row r="67" spans="1:34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</row>
    <row r="68" spans="1:34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</row>
    <row r="69" spans="1:34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</row>
    <row r="70" spans="1:34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</row>
    <row r="71" spans="1:34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</row>
    <row r="72" spans="1:34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</row>
    <row r="73" spans="1:34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</row>
    <row r="74" spans="1:3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</row>
    <row r="75" spans="1:34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</row>
    <row r="76" spans="1:34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</row>
    <row r="77" spans="1:34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</row>
    <row r="78" spans="1:34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</row>
    <row r="79" spans="1:34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</row>
    <row r="80" spans="1:34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</row>
    <row r="81" spans="1:34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</row>
    <row r="82" spans="1:34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</row>
    <row r="83" spans="1:34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</row>
    <row r="84" spans="1:3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</row>
    <row r="85" spans="1:34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</row>
    <row r="86" spans="1:34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</row>
    <row r="87" spans="1:34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</row>
    <row r="88" spans="1:34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</row>
    <row r="89" spans="1:34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</row>
    <row r="90" spans="1:34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</row>
    <row r="91" spans="1:34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</row>
    <row r="92" spans="1:34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</row>
    <row r="93" spans="1:34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</row>
    <row r="94" spans="1:3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</row>
    <row r="95" spans="1:34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</row>
    <row r="96" spans="1:34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</row>
    <row r="97" spans="1:34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</row>
    <row r="98" spans="1:34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</row>
    <row r="99" spans="1:34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</row>
    <row r="100" spans="1:34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</row>
    <row r="101" spans="1:34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</row>
    <row r="102" spans="1:34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</row>
    <row r="103" spans="1:34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</row>
    <row r="104" spans="1:3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</row>
    <row r="105" spans="1:34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</row>
    <row r="106" spans="1:34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</row>
    <row r="107" spans="1:34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</row>
    <row r="108" spans="1:34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</row>
    <row r="109" spans="1:34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</row>
    <row r="110" spans="1:34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</row>
    <row r="111" spans="1:34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</row>
    <row r="112" spans="1:34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</row>
    <row r="113" spans="1:34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</row>
    <row r="114" spans="1:3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</row>
    <row r="115" spans="1:34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</row>
    <row r="116" spans="1:34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</row>
    <row r="117" spans="1:34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</row>
    <row r="118" spans="1:34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</row>
    <row r="119" spans="1:34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</row>
    <row r="120" spans="1:34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</row>
    <row r="121" spans="1:34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</row>
    <row r="122" spans="1:34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</row>
    <row r="123" spans="1:34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</row>
    <row r="124" spans="1:3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</row>
    <row r="125" spans="1:34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</row>
    <row r="126" spans="1:34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</row>
    <row r="127" spans="1:34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</row>
    <row r="128" spans="1:34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</row>
    <row r="129" spans="1:34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</row>
    <row r="130" spans="1:34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</row>
    <row r="131" spans="1:34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</row>
    <row r="132" spans="1:34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</row>
    <row r="133" spans="1:34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</row>
    <row r="134" spans="1:3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</row>
    <row r="135" spans="1:34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</row>
    <row r="136" spans="1:34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</row>
    <row r="137" spans="1:34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</row>
    <row r="138" spans="1:34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</row>
    <row r="139" spans="1:34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</row>
    <row r="140" spans="1:34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</row>
    <row r="141" spans="1:34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</row>
    <row r="142" spans="1:34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</row>
    <row r="143" spans="1:34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</row>
    <row r="144" spans="1:3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</row>
    <row r="145" spans="1:34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</row>
    <row r="146" spans="1:34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</row>
    <row r="147" spans="1:34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</row>
    <row r="148" spans="1:34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</row>
    <row r="149" spans="1:34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</row>
    <row r="150" spans="1:34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</row>
    <row r="151" spans="1:34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</row>
    <row r="152" spans="1:34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</row>
    <row r="153" spans="1:34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</row>
    <row r="154" spans="1:3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</row>
    <row r="155" spans="1:34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</row>
    <row r="156" spans="1:34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</row>
    <row r="157" spans="1:34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</row>
    <row r="158" spans="1:34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</row>
    <row r="159" spans="1:34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</row>
    <row r="160" spans="1:34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</row>
    <row r="161" spans="1:34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</row>
    <row r="162" spans="1:34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</row>
    <row r="163" spans="1:34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</row>
    <row r="164" spans="1:3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</row>
    <row r="165" spans="1:34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</row>
    <row r="166" spans="1:34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</row>
    <row r="167" spans="1:34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</row>
    <row r="168" spans="1:34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</row>
    <row r="169" spans="1:34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</row>
    <row r="170" spans="1:34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</row>
    <row r="171" spans="1:34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</row>
    <row r="172" spans="1:34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</row>
    <row r="173" spans="1:34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</row>
    <row r="174" spans="1:3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</row>
    <row r="175" spans="1:34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</row>
    <row r="176" spans="1:34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</row>
    <row r="177" spans="1:34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</row>
    <row r="178" spans="1:34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</row>
    <row r="179" spans="1:34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</row>
    <row r="180" spans="1:34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</row>
    <row r="181" spans="1:34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</row>
    <row r="182" spans="1:34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</row>
    <row r="183" spans="1:34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</row>
    <row r="184" spans="1:3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</row>
    <row r="185" spans="1:34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</row>
    <row r="186" spans="1:34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</row>
    <row r="187" spans="1:34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</row>
    <row r="188" spans="1:34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</row>
    <row r="189" spans="1:34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</row>
    <row r="190" spans="1:34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</row>
    <row r="191" spans="1:34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</row>
    <row r="192" spans="1:34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</row>
    <row r="193" spans="1:34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</row>
    <row r="194" spans="1:3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</row>
    <row r="195" spans="1:34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</row>
    <row r="196" spans="1:34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</row>
    <row r="197" spans="1:34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</row>
    <row r="198" spans="1:34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</row>
    <row r="199" spans="1:34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</row>
    <row r="200" spans="1:34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</row>
    <row r="201" spans="1:34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</row>
    <row r="202" spans="1:34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</row>
    <row r="203" spans="1:34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</row>
    <row r="204" spans="1:3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</row>
    <row r="205" spans="1:34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</row>
    <row r="206" spans="1:34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</row>
    <row r="207" spans="1:34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</row>
    <row r="208" spans="1:34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</row>
    <row r="209" spans="1:34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</row>
    <row r="210" spans="1:34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</row>
    <row r="211" spans="1:34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</row>
    <row r="212" spans="1:34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</row>
    <row r="213" spans="1:34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</row>
    <row r="214" spans="1:3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</row>
    <row r="215" spans="1:34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</row>
    <row r="216" spans="1:34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</row>
    <row r="217" spans="1:34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</row>
    <row r="218" spans="1:34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</row>
    <row r="219" spans="1:34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</row>
    <row r="220" spans="1:34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</row>
    <row r="221" spans="1:34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</row>
    <row r="222" spans="1:34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</row>
    <row r="223" spans="1:34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</row>
    <row r="224" spans="1:3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</row>
    <row r="225" spans="1:34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</row>
    <row r="226" spans="1:34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</row>
    <row r="227" spans="1:34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</row>
    <row r="228" spans="1:34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</row>
    <row r="229" spans="1:34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</row>
    <row r="230" spans="1:34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</row>
    <row r="231" spans="1:34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</row>
    <row r="232" spans="1:34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</row>
    <row r="233" spans="1:34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</row>
    <row r="234" spans="1: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</row>
    <row r="235" spans="1:34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</row>
    <row r="236" spans="1:34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</row>
    <row r="237" spans="1:34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</row>
    <row r="238" spans="1:34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</row>
    <row r="239" spans="1:34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</row>
    <row r="240" spans="1:34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</row>
    <row r="241" spans="1:34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</row>
    <row r="242" spans="1:34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</row>
    <row r="243" spans="1:34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</row>
    <row r="244" spans="1:3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</row>
    <row r="245" spans="1:34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</row>
    <row r="246" spans="1:34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</row>
    <row r="247" spans="1:34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</row>
    <row r="248" spans="1:34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</row>
    <row r="249" spans="1:34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</row>
    <row r="250" spans="1:34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</row>
    <row r="251" spans="1:34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</row>
    <row r="252" spans="1:34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</row>
    <row r="253" spans="1:34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</row>
    <row r="254" spans="1:3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</row>
    <row r="255" spans="1:34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</row>
    <row r="256" spans="1:34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</row>
    <row r="257" spans="1:34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</row>
    <row r="258" spans="1:34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</row>
    <row r="259" spans="1:34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</row>
    <row r="260" spans="1:34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</row>
    <row r="261" spans="1:34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</row>
    <row r="262" spans="1:34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</row>
    <row r="263" spans="1:34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</row>
    <row r="264" spans="1:3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</row>
    <row r="265" spans="1:34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</row>
    <row r="266" spans="1:34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</row>
    <row r="267" spans="1:34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</row>
    <row r="268" spans="1:34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</row>
    <row r="269" spans="1:34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</row>
    <row r="270" spans="1:34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</row>
    <row r="271" spans="1:34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</row>
    <row r="272" spans="1:34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</row>
    <row r="273" spans="1:34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</row>
    <row r="274" spans="1:3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</row>
    <row r="275" spans="1:34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</row>
    <row r="276" spans="1:34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</row>
    <row r="277" spans="1:34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</row>
    <row r="278" spans="1:34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</row>
    <row r="279" spans="1:34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</row>
    <row r="280" spans="1:34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</row>
    <row r="281" spans="1:34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</row>
    <row r="282" spans="1:34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</row>
    <row r="283" spans="1:34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</row>
    <row r="284" spans="1:3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</row>
    <row r="285" spans="1:34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</row>
    <row r="286" spans="1:34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</row>
    <row r="287" spans="1:34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</row>
    <row r="288" spans="1:34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</row>
    <row r="289" spans="1:34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</row>
    <row r="290" spans="1:34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</row>
    <row r="291" spans="1:34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</row>
    <row r="292" spans="1:34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</row>
    <row r="293" spans="1:34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</row>
    <row r="294" spans="1:3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</row>
    <row r="295" spans="1:34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</row>
    <row r="296" spans="1:34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</row>
    <row r="297" spans="1:34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</row>
    <row r="298" spans="1:34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</row>
    <row r="299" spans="1:34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</row>
    <row r="300" spans="1:34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</row>
    <row r="301" spans="1:34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</row>
    <row r="302" spans="1:34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</row>
    <row r="303" spans="1:34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</row>
    <row r="304" spans="1:3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</row>
    <row r="305" spans="1:34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</row>
    <row r="306" spans="1:34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</row>
    <row r="307" spans="1:34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</row>
    <row r="308" spans="1:34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</row>
    <row r="309" spans="1:34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</row>
    <row r="310" spans="1:34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</row>
    <row r="311" spans="1:34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</row>
    <row r="312" spans="1:34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</row>
    <row r="313" spans="1:34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</row>
    <row r="314" spans="1:3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</row>
    <row r="315" spans="1:34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</row>
    <row r="316" spans="1:34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</row>
    <row r="317" spans="1:34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</row>
    <row r="318" spans="1:34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</row>
    <row r="319" spans="1:34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</row>
    <row r="320" spans="1:34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</row>
    <row r="321" spans="1:34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</row>
    <row r="322" spans="1:34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</row>
    <row r="323" spans="1:34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</row>
    <row r="324" spans="1:3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</row>
    <row r="325" spans="1:34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</row>
    <row r="326" spans="1:34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</row>
    <row r="327" spans="1:34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</row>
    <row r="328" spans="1:34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</row>
    <row r="329" spans="1:34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</row>
    <row r="330" spans="1:34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</row>
    <row r="331" spans="1:34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</row>
    <row r="332" spans="1:34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</row>
    <row r="333" spans="1:34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</row>
    <row r="334" spans="1: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</row>
    <row r="335" spans="1:34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</row>
    <row r="336" spans="1:34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</row>
    <row r="337" spans="1:34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</row>
    <row r="338" spans="1:34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</row>
    <row r="339" spans="1:34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</row>
    <row r="340" spans="1:34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</row>
    <row r="341" spans="1:34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</row>
    <row r="342" spans="1:34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</row>
    <row r="343" spans="1:34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</row>
    <row r="344" spans="1:3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</row>
    <row r="345" spans="1:34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</row>
    <row r="346" spans="1:34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</row>
    <row r="347" spans="1:34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</row>
    <row r="348" spans="1:34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</row>
    <row r="349" spans="1:34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</row>
    <row r="350" spans="1:34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</row>
    <row r="351" spans="1:34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</row>
    <row r="352" spans="1:34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</row>
    <row r="353" spans="1:34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</row>
    <row r="354" spans="1:3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</row>
    <row r="355" spans="1:34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</row>
    <row r="356" spans="1:34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</row>
    <row r="357" spans="1:34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</row>
    <row r="358" spans="1:34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</row>
    <row r="359" spans="1:34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</row>
    <row r="360" spans="1:34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</row>
    <row r="361" spans="1:34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</row>
    <row r="362" spans="1:34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</row>
    <row r="363" spans="1:34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</row>
    <row r="364" spans="1:3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</row>
    <row r="365" spans="1:34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</row>
    <row r="366" spans="1:34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</row>
    <row r="367" spans="1:34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</row>
    <row r="368" spans="1:34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</row>
    <row r="369" spans="1:34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</row>
    <row r="370" spans="1:34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</row>
    <row r="371" spans="1:34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</row>
    <row r="372" spans="1:34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</row>
    <row r="373" spans="1:34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</row>
    <row r="374" spans="1:3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</row>
    <row r="375" spans="1:34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</row>
    <row r="376" spans="1:34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</row>
    <row r="377" spans="1:34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</row>
    <row r="378" spans="1:34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</row>
    <row r="379" spans="1:34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</row>
    <row r="380" spans="1:34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</row>
    <row r="381" spans="1:34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</row>
    <row r="382" spans="1:34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</row>
    <row r="383" spans="1:34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</row>
    <row r="384" spans="1:3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</row>
    <row r="385" spans="1:34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</row>
    <row r="386" spans="1:34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</row>
    <row r="387" spans="1:34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</row>
    <row r="388" spans="1:34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</row>
    <row r="389" spans="1:34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</row>
    <row r="390" spans="1:34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</row>
    <row r="391" spans="1:34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</row>
    <row r="392" spans="1:34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</row>
    <row r="393" spans="1:34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</row>
    <row r="394" spans="1:3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</row>
    <row r="395" spans="1:34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</row>
    <row r="396" spans="1:34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</row>
    <row r="397" spans="1:34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</row>
    <row r="398" spans="1:34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</row>
    <row r="399" spans="1:34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</row>
    <row r="400" spans="1:34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</row>
    <row r="401" spans="1:34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</row>
    <row r="402" spans="1:34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</row>
    <row r="403" spans="1:34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</row>
    <row r="404" spans="1:3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</row>
    <row r="405" spans="1:34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</row>
    <row r="406" spans="1:34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</row>
    <row r="407" spans="1:34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</row>
    <row r="408" spans="1:34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</row>
    <row r="409" spans="1:34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</row>
    <row r="410" spans="1:34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</row>
    <row r="411" spans="1:34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</row>
    <row r="412" spans="1:34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</row>
    <row r="413" spans="1:34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</row>
    <row r="414" spans="1:3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</row>
    <row r="415" spans="1:34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</row>
    <row r="416" spans="1:34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</row>
    <row r="417" spans="1:34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</row>
    <row r="418" spans="1:34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</row>
    <row r="419" spans="1:34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</row>
    <row r="420" spans="1:34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</row>
    <row r="421" spans="1:34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</row>
    <row r="422" spans="1:34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</row>
    <row r="423" spans="1:34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</row>
    <row r="424" spans="1:3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</row>
    <row r="425" spans="1:34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</row>
    <row r="426" spans="1:34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</row>
    <row r="427" spans="1:34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</row>
    <row r="428" spans="1:34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</row>
    <row r="429" spans="1:34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</row>
    <row r="430" spans="1:34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</row>
    <row r="431" spans="1:34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</row>
    <row r="432" spans="1:34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</row>
    <row r="433" spans="1:34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</row>
    <row r="434" spans="1: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</row>
    <row r="435" spans="1:34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</row>
    <row r="436" spans="1:34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</row>
    <row r="437" spans="1:34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</row>
    <row r="438" spans="1:34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</row>
    <row r="439" spans="1:34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</row>
    <row r="440" spans="1:34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</row>
    <row r="441" spans="1:34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</row>
    <row r="442" spans="1:34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</row>
    <row r="443" spans="1:34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</row>
    <row r="444" spans="1:3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</row>
    <row r="445" spans="1:34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</row>
    <row r="446" spans="1:34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</row>
    <row r="447" spans="1:34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</row>
    <row r="448" spans="1:34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</row>
    <row r="449" spans="1:34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</row>
    <row r="450" spans="1:34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</row>
    <row r="451" spans="1:34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</row>
    <row r="452" spans="1:34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</row>
    <row r="453" spans="1:34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</row>
    <row r="454" spans="1:3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</row>
    <row r="455" spans="1:34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</row>
    <row r="456" spans="1:34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</row>
    <row r="457" spans="1:34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</row>
    <row r="458" spans="1:34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</row>
    <row r="459" spans="1:34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</row>
    <row r="460" spans="1:34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</row>
    <row r="461" spans="1:34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</row>
    <row r="462" spans="1:34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</row>
    <row r="463" spans="1:34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</row>
    <row r="464" spans="1:3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</row>
    <row r="465" spans="1:34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</row>
    <row r="466" spans="1:34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</row>
    <row r="467" spans="1:34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</row>
    <row r="468" spans="1:34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</row>
    <row r="469" spans="1:34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</row>
    <row r="470" spans="1:34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</row>
    <row r="471" spans="1:34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</row>
    <row r="472" spans="1:34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</row>
    <row r="473" spans="1:34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</row>
    <row r="474" spans="1:3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</row>
    <row r="475" spans="1:34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</row>
    <row r="476" spans="1:34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</row>
    <row r="477" spans="1:34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</row>
    <row r="478" spans="1:34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</row>
    <row r="479" spans="1:34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</row>
    <row r="480" spans="1:34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</row>
    <row r="481" spans="1:34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</row>
    <row r="482" spans="1:34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</row>
    <row r="483" spans="1:34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</row>
    <row r="484" spans="1:3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</row>
    <row r="485" spans="1:34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</row>
    <row r="486" spans="1:34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</row>
    <row r="487" spans="1:34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</row>
    <row r="488" spans="1:34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</row>
    <row r="489" spans="1:34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</row>
    <row r="490" spans="1:34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</row>
    <row r="491" spans="1:34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</row>
    <row r="492" spans="1:34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</row>
    <row r="493" spans="1:34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</row>
    <row r="494" spans="1:3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</row>
    <row r="495" spans="1:34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</row>
    <row r="496" spans="1:34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</row>
    <row r="497" spans="1:34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</row>
    <row r="498" spans="1:34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</row>
    <row r="499" spans="1:34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</row>
    <row r="500" spans="1:34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</row>
    <row r="501" spans="1:34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</row>
    <row r="502" spans="1:34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</row>
    <row r="503" spans="1:34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</row>
    <row r="504" spans="1:3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</row>
    <row r="505" spans="1:34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</row>
    <row r="506" spans="1:34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</row>
    <row r="507" spans="1:34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</row>
    <row r="508" spans="1:34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</row>
    <row r="509" spans="1:34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</row>
    <row r="510" spans="1:34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</row>
    <row r="511" spans="1:34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</row>
    <row r="512" spans="1:34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</row>
    <row r="513" spans="1:34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</row>
    <row r="514" spans="1:3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</row>
    <row r="515" spans="1:34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</row>
    <row r="516" spans="1:34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</row>
    <row r="517" spans="1:34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</row>
    <row r="518" spans="1:34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</row>
    <row r="519" spans="1:34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</row>
    <row r="520" spans="1:34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</row>
    <row r="521" spans="1:34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</row>
    <row r="522" spans="1:34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</row>
    <row r="523" spans="1:34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</row>
    <row r="524" spans="1:3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</row>
    <row r="525" spans="1:34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</row>
    <row r="526" spans="1:34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</row>
    <row r="527" spans="1:34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</row>
    <row r="528" spans="1:34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</row>
    <row r="529" spans="1:34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</row>
    <row r="530" spans="1:34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</row>
    <row r="531" spans="1:34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</row>
    <row r="532" spans="1:34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</row>
    <row r="533" spans="1:34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</row>
    <row r="534" spans="1: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</row>
    <row r="535" spans="1:34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</row>
    <row r="536" spans="1:34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</row>
    <row r="537" spans="1:34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</row>
    <row r="538" spans="1:34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</row>
    <row r="539" spans="1:34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</row>
    <row r="540" spans="1:34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</row>
    <row r="541" spans="1:34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</row>
    <row r="542" spans="1:34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</row>
    <row r="543" spans="1:34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</row>
    <row r="544" spans="1:3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</row>
    <row r="545" spans="1:34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</row>
    <row r="546" spans="1:34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</row>
    <row r="547" spans="1:34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</row>
    <row r="548" spans="1:34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</row>
    <row r="549" spans="1:34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</row>
    <row r="550" spans="1:34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</row>
    <row r="551" spans="1:34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</row>
    <row r="552" spans="1:34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</row>
    <row r="553" spans="1:34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</row>
    <row r="554" spans="1:3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</row>
    <row r="555" spans="1:34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</row>
    <row r="556" spans="1:34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</row>
    <row r="557" spans="1:34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</row>
    <row r="558" spans="1:34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</row>
    <row r="559" spans="1:34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</row>
    <row r="560" spans="1:34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</row>
    <row r="561" spans="1:34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</row>
    <row r="562" spans="1:34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</row>
    <row r="563" spans="1:34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</row>
    <row r="564" spans="1:3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</row>
    <row r="565" spans="1:34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</row>
    <row r="566" spans="1:34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</row>
    <row r="567" spans="1:34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</row>
    <row r="568" spans="1:34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</row>
    <row r="569" spans="1:34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</row>
    <row r="570" spans="1:34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</row>
    <row r="571" spans="1:34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</row>
    <row r="572" spans="1:34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</row>
    <row r="573" spans="1:34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</row>
    <row r="574" spans="1:3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</row>
    <row r="575" spans="1:34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</row>
    <row r="576" spans="1:34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</row>
    <row r="577" spans="1:34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</row>
    <row r="578" spans="1:34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</row>
    <row r="579" spans="1:34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</row>
    <row r="580" spans="1:34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</row>
    <row r="581" spans="1:34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</row>
    <row r="582" spans="1:34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</row>
    <row r="583" spans="1:34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</row>
    <row r="584" spans="1:3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</row>
    <row r="585" spans="1:34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</row>
    <row r="586" spans="1:34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</row>
    <row r="587" spans="1:34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</row>
    <row r="588" spans="1:34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</row>
    <row r="589" spans="1:34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</row>
    <row r="590" spans="1:34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</row>
    <row r="591" spans="1:34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</row>
    <row r="592" spans="1:34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</row>
    <row r="593" spans="1:34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</row>
    <row r="594" spans="1:3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</row>
    <row r="595" spans="1:34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</row>
    <row r="596" spans="1:34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</row>
    <row r="597" spans="1:34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</row>
    <row r="598" spans="1:34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</row>
    <row r="599" spans="1:34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</row>
    <row r="600" spans="1:34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</row>
    <row r="601" spans="1:34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</row>
    <row r="602" spans="1:34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</row>
    <row r="603" spans="1:34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</row>
    <row r="604" spans="1:3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</row>
    <row r="605" spans="1:34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</row>
    <row r="606" spans="1:34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</row>
    <row r="607" spans="1:34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</row>
    <row r="608" spans="1:34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</row>
    <row r="609" spans="1:34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</row>
    <row r="610" spans="1:34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</row>
    <row r="611" spans="1:34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</row>
    <row r="612" spans="1:34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</row>
    <row r="613" spans="1:34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</row>
    <row r="614" spans="1:3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</row>
    <row r="615" spans="1:34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</row>
    <row r="616" spans="1:34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</row>
    <row r="617" spans="1:34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</row>
    <row r="618" spans="1:34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</row>
    <row r="619" spans="1:34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</row>
    <row r="620" spans="1:34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</row>
    <row r="621" spans="1:34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</row>
    <row r="622" spans="1:34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</row>
    <row r="623" spans="1:34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</row>
    <row r="624" spans="1:3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</row>
    <row r="625" spans="1:34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</row>
    <row r="626" spans="1:34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</row>
    <row r="627" spans="1:34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</row>
    <row r="628" spans="1:34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</row>
    <row r="629" spans="1:34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</row>
    <row r="630" spans="1:34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</row>
    <row r="631" spans="1:34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</row>
    <row r="632" spans="1:34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</row>
    <row r="633" spans="1:34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</row>
    <row r="634" spans="1: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</row>
    <row r="635" spans="1:34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</row>
    <row r="636" spans="1:34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</row>
    <row r="637" spans="1:34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</row>
    <row r="638" spans="1:34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</row>
    <row r="639" spans="1:34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</row>
    <row r="640" spans="1:34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</row>
    <row r="641" spans="1:34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</row>
    <row r="642" spans="1:34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</row>
    <row r="643" spans="1:34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</row>
    <row r="644" spans="1:3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</row>
    <row r="645" spans="1:34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</row>
    <row r="646" spans="1:34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</row>
    <row r="647" spans="1:34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</row>
    <row r="648" spans="1:34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</row>
    <row r="649" spans="1:34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</row>
    <row r="650" spans="1:34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</row>
    <row r="651" spans="1:34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</row>
    <row r="652" spans="1:34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</row>
    <row r="653" spans="1:34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</row>
    <row r="654" spans="1:3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</row>
    <row r="655" spans="1:34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</row>
    <row r="656" spans="1:34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</row>
    <row r="657" spans="1:34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</row>
    <row r="658" spans="1:34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</row>
    <row r="659" spans="1:34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</row>
    <row r="660" spans="1:34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</row>
    <row r="661" spans="1:34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</row>
    <row r="662" spans="1:34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</row>
    <row r="663" spans="1:34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</row>
    <row r="664" spans="1:3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</row>
    <row r="665" spans="1:34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</row>
    <row r="666" spans="1:34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</row>
    <row r="667" spans="1:34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</row>
    <row r="668" spans="1:34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</row>
    <row r="669" spans="1:34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</row>
    <row r="670" spans="1:34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</row>
    <row r="671" spans="1:34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</row>
    <row r="672" spans="1:34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</row>
    <row r="673" spans="1:34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</row>
    <row r="674" spans="1:3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</row>
    <row r="675" spans="1:34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</row>
    <row r="676" spans="1:34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</row>
    <row r="677" spans="1:34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</row>
    <row r="678" spans="1:34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</row>
    <row r="679" spans="1:34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</row>
    <row r="680" spans="1:34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</row>
    <row r="681" spans="1:34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</row>
    <row r="682" spans="1:34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</row>
    <row r="683" spans="1:34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</row>
    <row r="684" spans="1:3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</row>
    <row r="685" spans="1:34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</row>
    <row r="686" spans="1:34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</row>
    <row r="687" spans="1:34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</row>
    <row r="688" spans="1:34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</row>
    <row r="689" spans="1:34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</row>
    <row r="690" spans="1:34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</row>
    <row r="691" spans="1:34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</row>
    <row r="692" spans="1:34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</row>
    <row r="693" spans="1:34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</row>
    <row r="694" spans="1:3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</row>
    <row r="695" spans="1:34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</row>
    <row r="696" spans="1:34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</row>
    <row r="697" spans="1:34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</row>
    <row r="698" spans="1:34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</row>
    <row r="699" spans="1:34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</row>
    <row r="700" spans="1:34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</row>
    <row r="701" spans="1:34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</row>
    <row r="702" spans="1:34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</row>
    <row r="703" spans="1:34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</row>
    <row r="704" spans="1:3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</row>
    <row r="705" spans="1:34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</row>
    <row r="706" spans="1:34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</row>
    <row r="707" spans="1:34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</row>
    <row r="708" spans="1:34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</row>
    <row r="709" spans="1:34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</row>
    <row r="710" spans="1:34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</row>
    <row r="711" spans="1:34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</row>
    <row r="712" spans="1:34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</row>
    <row r="713" spans="1:34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</row>
    <row r="714" spans="1:3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</row>
    <row r="715" spans="1:34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</row>
    <row r="716" spans="1:34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</row>
    <row r="717" spans="1:34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</row>
    <row r="718" spans="1:34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</row>
    <row r="719" spans="1:34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</row>
    <row r="720" spans="1:34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</row>
    <row r="721" spans="1:34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</row>
    <row r="722" spans="1:34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</row>
    <row r="723" spans="1:34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</row>
    <row r="724" spans="1:3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</row>
    <row r="725" spans="1:34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</row>
    <row r="726" spans="1:34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</row>
    <row r="727" spans="1:34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</row>
    <row r="728" spans="1:34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</row>
    <row r="729" spans="1:34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</row>
    <row r="730" spans="1:34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</row>
    <row r="731" spans="1:34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</row>
    <row r="732" spans="1:34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</row>
    <row r="733" spans="1:34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</row>
    <row r="734" spans="1: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</row>
    <row r="735" spans="1:34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</row>
    <row r="736" spans="1:34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</row>
    <row r="737" spans="1:34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</row>
    <row r="738" spans="1:34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</row>
    <row r="739" spans="1:34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</row>
    <row r="740" spans="1:34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</row>
    <row r="741" spans="1:34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</row>
    <row r="742" spans="1:34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</row>
    <row r="743" spans="1:34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</row>
    <row r="744" spans="1:3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</row>
    <row r="745" spans="1:34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</row>
    <row r="746" spans="1:34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</row>
    <row r="747" spans="1:34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</row>
    <row r="748" spans="1:34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</row>
    <row r="749" spans="1:34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</row>
    <row r="750" spans="1:34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</row>
    <row r="751" spans="1:34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</row>
    <row r="752" spans="1:34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  <c r="AH752" s="29"/>
    </row>
    <row r="753" spans="1:34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</row>
    <row r="754" spans="1:3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  <c r="AH754" s="29"/>
    </row>
    <row r="755" spans="1:34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  <c r="AH755" s="29"/>
    </row>
    <row r="756" spans="1:34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  <c r="AH756" s="29"/>
    </row>
    <row r="757" spans="1:34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</row>
    <row r="758" spans="1:34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  <c r="AH758" s="29"/>
    </row>
    <row r="759" spans="1:34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</row>
    <row r="760" spans="1:34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  <c r="AH760" s="29"/>
    </row>
    <row r="761" spans="1:34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</row>
    <row r="762" spans="1:34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  <c r="AH762" s="29"/>
    </row>
    <row r="763" spans="1:34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  <c r="AH763" s="29"/>
    </row>
    <row r="764" spans="1:3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  <c r="AH764" s="29"/>
    </row>
    <row r="765" spans="1:34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</row>
    <row r="766" spans="1:34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</row>
    <row r="767" spans="1:34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</row>
    <row r="768" spans="1:34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  <c r="AH768" s="29"/>
    </row>
    <row r="769" spans="1:34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  <c r="AH769" s="29"/>
    </row>
    <row r="770" spans="1:34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  <c r="AH770" s="29"/>
    </row>
    <row r="771" spans="1:34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</row>
    <row r="772" spans="1:34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  <c r="AH772" s="29"/>
    </row>
    <row r="773" spans="1:34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  <c r="AH773" s="29"/>
    </row>
    <row r="774" spans="1:3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  <c r="AH774" s="29"/>
    </row>
    <row r="775" spans="1:34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  <c r="AH775" s="29"/>
    </row>
    <row r="776" spans="1:34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  <c r="AH776" s="29"/>
    </row>
    <row r="777" spans="1:34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  <c r="AH777" s="29"/>
    </row>
    <row r="778" spans="1:34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  <c r="AH778" s="29"/>
    </row>
    <row r="779" spans="1:34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  <c r="AH779" s="29"/>
    </row>
    <row r="780" spans="1:34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</row>
    <row r="781" spans="1:34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</row>
    <row r="782" spans="1:34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  <c r="AH782" s="29"/>
    </row>
    <row r="783" spans="1:34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</row>
    <row r="784" spans="1:3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  <c r="AH784" s="29"/>
    </row>
    <row r="785" spans="1:34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</row>
    <row r="786" spans="1:34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  <c r="AH786" s="29"/>
    </row>
    <row r="787" spans="1:34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  <c r="AH787" s="29"/>
    </row>
    <row r="788" spans="1:34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</row>
    <row r="789" spans="1:34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</row>
    <row r="790" spans="1:34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  <c r="AH790" s="29"/>
    </row>
    <row r="791" spans="1:34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  <c r="AH791" s="29"/>
    </row>
    <row r="792" spans="1:34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  <c r="AH792" s="29"/>
    </row>
    <row r="793" spans="1:34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  <c r="AH793" s="29"/>
    </row>
    <row r="794" spans="1:3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  <c r="AH794" s="29"/>
    </row>
    <row r="795" spans="1:34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  <c r="AH795" s="29"/>
    </row>
    <row r="796" spans="1:34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  <c r="AH796" s="29"/>
    </row>
    <row r="797" spans="1:34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  <c r="AH797" s="29"/>
    </row>
    <row r="798" spans="1:34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  <c r="AH798" s="29"/>
    </row>
    <row r="799" spans="1:34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</row>
    <row r="800" spans="1:34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  <c r="AH800" s="29"/>
    </row>
    <row r="801" spans="1:34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  <c r="AH801" s="29"/>
    </row>
    <row r="802" spans="1:34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  <c r="AH802" s="29"/>
    </row>
    <row r="803" spans="1:34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  <c r="AH803" s="29"/>
    </row>
    <row r="804" spans="1:3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  <c r="AH804" s="29"/>
    </row>
    <row r="805" spans="1:34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  <c r="AH805" s="29"/>
    </row>
    <row r="806" spans="1:34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  <c r="AH806" s="29"/>
    </row>
    <row r="807" spans="1:34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  <c r="AH807" s="29"/>
    </row>
    <row r="808" spans="1:34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  <c r="AH808" s="29"/>
    </row>
    <row r="809" spans="1:34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  <c r="AH809" s="29"/>
    </row>
    <row r="810" spans="1:34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  <c r="AH810" s="29"/>
    </row>
    <row r="811" spans="1:34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  <c r="AH811" s="29"/>
    </row>
    <row r="812" spans="1:34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  <c r="AH812" s="29"/>
    </row>
    <row r="813" spans="1:34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  <c r="AH813" s="29"/>
    </row>
    <row r="814" spans="1:3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  <c r="AH814" s="29"/>
    </row>
    <row r="815" spans="1:34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  <c r="AH815" s="29"/>
    </row>
    <row r="816" spans="1:34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  <c r="AH816" s="29"/>
    </row>
    <row r="817" spans="1:34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  <c r="AH817" s="29"/>
    </row>
    <row r="818" spans="1:34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  <c r="AH818" s="29"/>
    </row>
    <row r="819" spans="1:34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  <c r="AH819" s="29"/>
    </row>
    <row r="820" spans="1:34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  <c r="AH820" s="29"/>
    </row>
    <row r="821" spans="1:34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  <c r="AH821" s="29"/>
    </row>
    <row r="822" spans="1:34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  <c r="AH822" s="29"/>
    </row>
    <row r="823" spans="1:34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  <c r="AH823" s="29"/>
    </row>
    <row r="824" spans="1:3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  <c r="AH824" s="29"/>
    </row>
    <row r="825" spans="1:34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  <c r="AH825" s="29"/>
    </row>
    <row r="826" spans="1:34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  <c r="AH826" s="29"/>
    </row>
    <row r="827" spans="1:34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  <c r="AH827" s="29"/>
    </row>
    <row r="828" spans="1:34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  <c r="AH828" s="29"/>
    </row>
    <row r="829" spans="1:34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  <c r="AH829" s="29"/>
    </row>
    <row r="830" spans="1:34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  <c r="AH830" s="29"/>
    </row>
    <row r="831" spans="1:34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  <c r="AH831" s="29"/>
    </row>
    <row r="832" spans="1:34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  <c r="AH832" s="29"/>
    </row>
    <row r="833" spans="1:34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  <c r="AH833" s="29"/>
    </row>
    <row r="834" spans="1: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  <c r="AH834" s="29"/>
    </row>
    <row r="835" spans="1:34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  <c r="AH835" s="29"/>
    </row>
    <row r="836" spans="1:34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  <c r="AH836" s="29"/>
    </row>
    <row r="837" spans="1:34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  <c r="AH837" s="29"/>
    </row>
    <row r="838" spans="1:34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  <c r="AH838" s="29"/>
    </row>
    <row r="839" spans="1:34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  <c r="AH839" s="29"/>
    </row>
    <row r="840" spans="1:34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  <c r="AH840" s="29"/>
    </row>
    <row r="841" spans="1:34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  <c r="AH841" s="29"/>
    </row>
    <row r="842" spans="1:34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  <c r="AH842" s="29"/>
    </row>
    <row r="843" spans="1:34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  <c r="AH843" s="29"/>
    </row>
    <row r="844" spans="1:3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  <c r="AH844" s="29"/>
    </row>
    <row r="845" spans="1:34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  <c r="AH845" s="29"/>
    </row>
    <row r="846" spans="1:34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  <c r="AH846" s="29"/>
    </row>
    <row r="847" spans="1:34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  <c r="AH847" s="29"/>
    </row>
    <row r="848" spans="1:34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  <c r="AH848" s="29"/>
    </row>
    <row r="849" spans="1:34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  <c r="AH849" s="29"/>
    </row>
    <row r="850" spans="1:34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  <c r="AH850" s="29"/>
    </row>
    <row r="851" spans="1:34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  <c r="AH851" s="29"/>
    </row>
    <row r="852" spans="1:34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  <c r="AH852" s="29"/>
    </row>
    <row r="853" spans="1:34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  <c r="AH853" s="29"/>
    </row>
    <row r="854" spans="1:3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  <c r="AH854" s="29"/>
    </row>
    <row r="855" spans="1:34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  <c r="AH855" s="29"/>
    </row>
    <row r="856" spans="1:34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  <c r="AH856" s="29"/>
    </row>
    <row r="857" spans="1:34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  <c r="AH857" s="29"/>
    </row>
    <row r="858" spans="1:34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29"/>
      <c r="AH858" s="29"/>
    </row>
    <row r="859" spans="1:34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  <c r="AH859" s="29"/>
    </row>
    <row r="860" spans="1:34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29"/>
      <c r="AH860" s="29"/>
    </row>
    <row r="861" spans="1:34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29"/>
      <c r="AH861" s="29"/>
    </row>
    <row r="862" spans="1:34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  <c r="AH862" s="29"/>
    </row>
    <row r="863" spans="1:34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  <c r="AH863" s="29"/>
    </row>
    <row r="864" spans="1:3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  <c r="AH864" s="29"/>
    </row>
    <row r="865" spans="1:34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  <c r="AH865" s="29"/>
    </row>
    <row r="866" spans="1:34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29"/>
      <c r="AH866" s="29"/>
    </row>
    <row r="867" spans="1:34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  <c r="AH867" s="29"/>
    </row>
    <row r="868" spans="1:34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29"/>
      <c r="AH868" s="29"/>
    </row>
    <row r="869" spans="1:34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29"/>
      <c r="AH869" s="29"/>
    </row>
    <row r="870" spans="1:34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  <c r="AH870" s="29"/>
    </row>
    <row r="871" spans="1:34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29"/>
      <c r="AH871" s="29"/>
    </row>
    <row r="872" spans="1:34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29"/>
      <c r="AH872" s="29"/>
    </row>
    <row r="873" spans="1:34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29"/>
      <c r="AH873" s="29"/>
    </row>
    <row r="874" spans="1:3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29"/>
      <c r="AH874" s="29"/>
    </row>
    <row r="875" spans="1:34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  <c r="AH875" s="29"/>
    </row>
    <row r="876" spans="1:34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  <c r="AH876" s="29"/>
    </row>
    <row r="877" spans="1:34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29"/>
      <c r="AH877" s="29"/>
    </row>
    <row r="878" spans="1:34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29"/>
      <c r="AH878" s="29"/>
    </row>
    <row r="879" spans="1:34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  <c r="AH879" s="29"/>
    </row>
    <row r="880" spans="1:34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29"/>
      <c r="AH880" s="29"/>
    </row>
    <row r="881" spans="1:34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  <c r="AH881" s="29"/>
    </row>
    <row r="882" spans="1:34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  <c r="AH882" s="29"/>
    </row>
    <row r="883" spans="1:34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  <c r="AH883" s="29"/>
    </row>
    <row r="884" spans="1:3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  <c r="AH884" s="29"/>
    </row>
    <row r="885" spans="1:34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  <c r="AH885" s="29"/>
    </row>
    <row r="886" spans="1:34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  <c r="AH886" s="29"/>
    </row>
    <row r="887" spans="1:34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  <c r="AH887" s="29"/>
    </row>
    <row r="888" spans="1:34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  <c r="AH888" s="29"/>
    </row>
    <row r="889" spans="1:34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  <c r="AH889" s="29"/>
    </row>
    <row r="890" spans="1:34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29"/>
      <c r="AH890" s="29"/>
    </row>
    <row r="891" spans="1:34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29"/>
      <c r="AH891" s="29"/>
    </row>
    <row r="892" spans="1:34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29"/>
      <c r="AH892" s="29"/>
    </row>
    <row r="893" spans="1:34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29"/>
      <c r="AH893" s="29"/>
    </row>
    <row r="894" spans="1:3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29"/>
      <c r="AH894" s="29"/>
    </row>
    <row r="895" spans="1:34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29"/>
      <c r="AH895" s="29"/>
    </row>
    <row r="896" spans="1:34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29"/>
      <c r="AH896" s="29"/>
    </row>
    <row r="897" spans="1:34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29"/>
      <c r="AH897" s="29"/>
    </row>
    <row r="898" spans="1:34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  <c r="AH898" s="29"/>
    </row>
    <row r="899" spans="1:34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29"/>
      <c r="AH899" s="29"/>
    </row>
    <row r="900" spans="1:34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  <c r="AH900" s="29"/>
    </row>
    <row r="901" spans="1:34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29"/>
      <c r="AH901" s="29"/>
    </row>
    <row r="902" spans="1:34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  <c r="AH902" s="29"/>
    </row>
    <row r="903" spans="1:34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29"/>
      <c r="AH903" s="29"/>
    </row>
    <row r="904" spans="1:3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  <c r="AH904" s="29"/>
    </row>
    <row r="905" spans="1:34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29"/>
      <c r="AH905" s="29"/>
    </row>
    <row r="906" spans="1:34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29"/>
      <c r="AH906" s="29"/>
    </row>
    <row r="907" spans="1:34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  <c r="AH907" s="29"/>
    </row>
    <row r="908" spans="1:34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  <c r="AG908" s="29"/>
      <c r="AH908" s="29"/>
    </row>
    <row r="909" spans="1:34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  <c r="AG909" s="29"/>
      <c r="AH909" s="29"/>
    </row>
    <row r="910" spans="1:34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  <c r="AG910" s="29"/>
      <c r="AH910" s="29"/>
    </row>
    <row r="911" spans="1:34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  <c r="AG911" s="29"/>
      <c r="AH911" s="29"/>
    </row>
    <row r="912" spans="1:34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29"/>
      <c r="AH912" s="29"/>
    </row>
    <row r="913" spans="1:34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29"/>
      <c r="AH913" s="29"/>
    </row>
    <row r="914" spans="1:3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29"/>
      <c r="AH914" s="29"/>
    </row>
    <row r="915" spans="1:34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29"/>
      <c r="AH915" s="29"/>
    </row>
    <row r="916" spans="1:34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  <c r="AG916" s="29"/>
      <c r="AH916" s="29"/>
    </row>
    <row r="917" spans="1:34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29"/>
      <c r="AH917" s="29"/>
    </row>
    <row r="918" spans="1:34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29"/>
      <c r="AH918" s="29"/>
    </row>
    <row r="919" spans="1:34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29"/>
      <c r="AH919" s="29"/>
    </row>
    <row r="920" spans="1:34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29"/>
      <c r="AH920" s="29"/>
    </row>
    <row r="921" spans="1:34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  <c r="AH921" s="29"/>
    </row>
    <row r="922" spans="1:34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29"/>
      <c r="AH922" s="29"/>
    </row>
    <row r="923" spans="1:34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  <c r="AG923" s="29"/>
      <c r="AH923" s="29"/>
    </row>
    <row r="924" spans="1:3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29"/>
      <c r="AH924" s="29"/>
    </row>
    <row r="925" spans="1:34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29"/>
      <c r="AH925" s="29"/>
    </row>
    <row r="926" spans="1:34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29"/>
      <c r="AH926" s="29"/>
    </row>
    <row r="927" spans="1:34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  <c r="AG927" s="29"/>
      <c r="AH927" s="29"/>
    </row>
    <row r="928" spans="1:34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29"/>
      <c r="AH928" s="29"/>
    </row>
    <row r="929" spans="1:34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29"/>
      <c r="AH929" s="29"/>
    </row>
    <row r="930" spans="1:34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  <c r="AH930" s="29"/>
    </row>
    <row r="931" spans="1:34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29"/>
      <c r="AH931" s="29"/>
    </row>
    <row r="932" spans="1:34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29"/>
      <c r="AH932" s="29"/>
    </row>
    <row r="933" spans="1:34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29"/>
      <c r="AH933" s="29"/>
    </row>
    <row r="934" spans="1: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29"/>
      <c r="AH934" s="29"/>
    </row>
    <row r="935" spans="1:34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29"/>
      <c r="AH935" s="29"/>
    </row>
    <row r="936" spans="1:34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29"/>
      <c r="AH936" s="29"/>
    </row>
    <row r="937" spans="1:34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29"/>
      <c r="AH937" s="29"/>
    </row>
    <row r="938" spans="1:34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29"/>
      <c r="AH938" s="29"/>
    </row>
    <row r="939" spans="1:34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29"/>
      <c r="AH939" s="29"/>
    </row>
    <row r="940" spans="1:34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29"/>
      <c r="AH940" s="29"/>
    </row>
    <row r="941" spans="1:34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  <c r="AG941" s="29"/>
      <c r="AH941" s="29"/>
    </row>
    <row r="942" spans="1:34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  <c r="AH942" s="29"/>
    </row>
    <row r="943" spans="1:34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29"/>
      <c r="AH943" s="29"/>
    </row>
    <row r="944" spans="1:3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29"/>
      <c r="AH944" s="29"/>
    </row>
    <row r="945" spans="1:34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29"/>
      <c r="AH945" s="29"/>
    </row>
    <row r="946" spans="1:34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29"/>
      <c r="AH946" s="29"/>
    </row>
    <row r="947" spans="1:34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29"/>
      <c r="AH947" s="29"/>
    </row>
    <row r="948" spans="1:34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29"/>
      <c r="AH948" s="29"/>
    </row>
    <row r="949" spans="1:34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29"/>
      <c r="AH949" s="29"/>
    </row>
    <row r="950" spans="1:34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29"/>
      <c r="AH950" s="29"/>
    </row>
    <row r="951" spans="1:34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29"/>
      <c r="AH951" s="29"/>
    </row>
    <row r="952" spans="1:34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29"/>
      <c r="AH952" s="29"/>
    </row>
    <row r="953" spans="1:34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29"/>
      <c r="AH953" s="29"/>
    </row>
    <row r="954" spans="1:3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29"/>
      <c r="AH954" s="29"/>
    </row>
    <row r="955" spans="1:34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29"/>
      <c r="AH955" s="29"/>
    </row>
    <row r="956" spans="1:34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29"/>
      <c r="AH956" s="29"/>
    </row>
    <row r="957" spans="1:34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29"/>
      <c r="AH957" s="29"/>
    </row>
    <row r="958" spans="1:34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29"/>
      <c r="AH958" s="29"/>
    </row>
    <row r="959" spans="1:34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29"/>
      <c r="AH959" s="29"/>
    </row>
    <row r="960" spans="1:34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29"/>
      <c r="AH960" s="29"/>
    </row>
    <row r="961" spans="1:34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  <c r="AG961" s="29"/>
      <c r="AH961" s="29"/>
    </row>
    <row r="962" spans="1:34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  <c r="AG962" s="29"/>
      <c r="AH962" s="29"/>
    </row>
    <row r="963" spans="1:34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29"/>
      <c r="AH963" s="29"/>
    </row>
    <row r="964" spans="1:3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29"/>
      <c r="AH964" s="29"/>
    </row>
    <row r="965" spans="1:34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29"/>
      <c r="AH965" s="29"/>
    </row>
    <row r="966" spans="1:34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29"/>
      <c r="AH966" s="29"/>
    </row>
    <row r="967" spans="1:34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  <c r="AG967" s="29"/>
      <c r="AH967" s="29"/>
    </row>
    <row r="968" spans="1:34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29"/>
      <c r="AH968" s="29"/>
    </row>
    <row r="969" spans="1:34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  <c r="AG969" s="29"/>
      <c r="AH969" s="29"/>
    </row>
    <row r="970" spans="1:34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  <c r="AG970" s="29"/>
      <c r="AH970" s="29"/>
    </row>
    <row r="971" spans="1:34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  <c r="AG971" s="29"/>
      <c r="AH971" s="29"/>
    </row>
    <row r="972" spans="1:34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F972" s="29"/>
      <c r="AG972" s="29"/>
      <c r="AH972" s="29"/>
    </row>
    <row r="973" spans="1:34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  <c r="AG973" s="29"/>
      <c r="AH973" s="29"/>
    </row>
    <row r="974" spans="1:3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  <c r="AG974" s="29"/>
      <c r="AH974" s="29"/>
    </row>
    <row r="975" spans="1:34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  <c r="AG975" s="29"/>
      <c r="AH975" s="29"/>
    </row>
    <row r="976" spans="1:34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F976" s="29"/>
      <c r="AG976" s="29"/>
      <c r="AH976" s="29"/>
    </row>
    <row r="977" spans="1:34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  <c r="AG977" s="29"/>
      <c r="AH977" s="29"/>
    </row>
    <row r="978" spans="1:34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  <c r="AF978" s="29"/>
      <c r="AG978" s="29"/>
      <c r="AH978" s="29"/>
    </row>
    <row r="979" spans="1:34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29"/>
      <c r="AG979" s="29"/>
      <c r="AH979" s="29"/>
    </row>
    <row r="980" spans="1:34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29"/>
      <c r="AG980" s="29"/>
      <c r="AH980" s="29"/>
    </row>
    <row r="981" spans="1:34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  <c r="AF981" s="29"/>
      <c r="AG981" s="29"/>
      <c r="AH981" s="29"/>
    </row>
    <row r="982" spans="1:34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  <c r="AF982" s="29"/>
      <c r="AG982" s="29"/>
      <c r="AH982" s="29"/>
    </row>
    <row r="983" spans="1:34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F983" s="29"/>
      <c r="AG983" s="29"/>
      <c r="AH983" s="29"/>
    </row>
    <row r="984" spans="1:3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  <c r="AF984" s="29"/>
      <c r="AG984" s="29"/>
      <c r="AH984" s="29"/>
    </row>
    <row r="985" spans="1:34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  <c r="AF985" s="29"/>
      <c r="AG985" s="29"/>
      <c r="AH985" s="29"/>
    </row>
    <row r="986" spans="1:34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  <c r="AF986" s="29"/>
      <c r="AG986" s="29"/>
      <c r="AH986" s="29"/>
    </row>
    <row r="987" spans="1:34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F987" s="29"/>
      <c r="AG987" s="29"/>
      <c r="AH987" s="29"/>
    </row>
    <row r="988" spans="1:34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  <c r="AF988" s="29"/>
      <c r="AG988" s="29"/>
      <c r="AH988" s="29"/>
    </row>
    <row r="989" spans="1:34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F989" s="29"/>
      <c r="AG989" s="29"/>
      <c r="AH989" s="29"/>
    </row>
    <row r="990" spans="1:34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  <c r="AG990" s="29"/>
      <c r="AH990" s="29"/>
    </row>
    <row r="991" spans="1:34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  <c r="AG991" s="29"/>
      <c r="AH991" s="29"/>
    </row>
    <row r="992" spans="1:34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  <c r="AG992" s="29"/>
      <c r="AH992" s="29"/>
    </row>
    <row r="993" spans="1:34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  <c r="AF993" s="29"/>
      <c r="AG993" s="29"/>
      <c r="AH993" s="29"/>
    </row>
    <row r="994" spans="1:34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  <c r="AF994" s="29"/>
      <c r="AG994" s="29"/>
      <c r="AH994" s="29"/>
    </row>
    <row r="995" spans="1:34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9"/>
      <c r="AF995" s="29"/>
      <c r="AG995" s="29"/>
      <c r="AH995" s="29"/>
    </row>
    <row r="996" spans="1:34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  <c r="AE996" s="29"/>
      <c r="AF996" s="29"/>
      <c r="AG996" s="29"/>
      <c r="AH996" s="29"/>
    </row>
    <row r="997" spans="1:34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  <c r="AE997" s="29"/>
      <c r="AF997" s="29"/>
      <c r="AG997" s="29"/>
      <c r="AH997" s="29"/>
    </row>
    <row r="998" spans="1:34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  <c r="AE998" s="29"/>
      <c r="AF998" s="29"/>
      <c r="AG998" s="29"/>
      <c r="AH998" s="29"/>
    </row>
    <row r="999" spans="1:34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  <c r="AE999" s="29"/>
      <c r="AF999" s="29"/>
      <c r="AG999" s="29"/>
      <c r="AH999" s="29"/>
    </row>
    <row r="1000" spans="1:34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  <c r="AC1000" s="29"/>
      <c r="AD1000" s="29"/>
      <c r="AE1000" s="29"/>
      <c r="AF1000" s="29"/>
      <c r="AG1000" s="29"/>
      <c r="AH1000" s="29"/>
    </row>
    <row r="1001" spans="1:34">
      <c r="A1001" s="29"/>
      <c r="B1001" s="29"/>
      <c r="C1001" s="29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  <c r="AA1001" s="29"/>
      <c r="AB1001" s="29"/>
      <c r="AC1001" s="29"/>
      <c r="AD1001" s="29"/>
      <c r="AE1001" s="29"/>
      <c r="AF1001" s="29"/>
      <c r="AG1001" s="29"/>
      <c r="AH1001" s="29"/>
    </row>
    <row r="1002" spans="1:34">
      <c r="A1002" s="29"/>
      <c r="B1002" s="29"/>
      <c r="C1002" s="29"/>
      <c r="D1002" s="29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  <c r="AA1002" s="29"/>
      <c r="AB1002" s="29"/>
      <c r="AC1002" s="29"/>
      <c r="AD1002" s="29"/>
      <c r="AE1002" s="29"/>
      <c r="AF1002" s="29"/>
      <c r="AG1002" s="29"/>
      <c r="AH1002" s="29"/>
    </row>
    <row r="1003" spans="1:34">
      <c r="A1003" s="29"/>
      <c r="B1003" s="29"/>
      <c r="C1003" s="29"/>
      <c r="D1003" s="29"/>
      <c r="E1003" s="29"/>
      <c r="F1003" s="29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  <c r="AA1003" s="29"/>
      <c r="AB1003" s="29"/>
      <c r="AC1003" s="29"/>
      <c r="AD1003" s="29"/>
      <c r="AE1003" s="29"/>
      <c r="AF1003" s="29"/>
      <c r="AG1003" s="29"/>
      <c r="AH1003" s="29"/>
    </row>
    <row r="1004" spans="1:34">
      <c r="A1004" s="29"/>
      <c r="B1004" s="29"/>
      <c r="C1004" s="29"/>
      <c r="D1004" s="29"/>
      <c r="E1004" s="29"/>
      <c r="F1004" s="29"/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  <c r="Z1004" s="29"/>
      <c r="AA1004" s="29"/>
      <c r="AB1004" s="29"/>
      <c r="AC1004" s="29"/>
      <c r="AD1004" s="29"/>
      <c r="AE1004" s="29"/>
      <c r="AF1004" s="29"/>
      <c r="AG1004" s="29"/>
      <c r="AH1004" s="29"/>
    </row>
    <row r="1005" spans="1:34">
      <c r="A1005" s="29"/>
      <c r="B1005" s="29"/>
      <c r="C1005" s="29"/>
      <c r="D1005" s="29"/>
      <c r="E1005" s="29"/>
      <c r="F1005" s="29"/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  <c r="Z1005" s="29"/>
      <c r="AA1005" s="29"/>
      <c r="AB1005" s="29"/>
      <c r="AC1005" s="29"/>
      <c r="AD1005" s="29"/>
      <c r="AE1005" s="29"/>
      <c r="AF1005" s="29"/>
      <c r="AG1005" s="29"/>
      <c r="AH1005" s="29"/>
    </row>
    <row r="1006" spans="1:34">
      <c r="A1006" s="29"/>
      <c r="B1006" s="29"/>
      <c r="C1006" s="29"/>
      <c r="D1006" s="29"/>
      <c r="E1006" s="29"/>
      <c r="F1006" s="29"/>
      <c r="G1006" s="29"/>
      <c r="H1006" s="29"/>
      <c r="I1006" s="29"/>
      <c r="J1006" s="29"/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  <c r="Z1006" s="29"/>
      <c r="AA1006" s="29"/>
      <c r="AB1006" s="29"/>
      <c r="AC1006" s="29"/>
      <c r="AD1006" s="29"/>
      <c r="AE1006" s="29"/>
      <c r="AF1006" s="29"/>
      <c r="AG1006" s="29"/>
      <c r="AH1006" s="29"/>
    </row>
    <row r="1007" spans="1:34">
      <c r="A1007" s="29"/>
      <c r="B1007" s="29"/>
      <c r="C1007" s="29"/>
      <c r="D1007" s="29"/>
      <c r="E1007" s="29"/>
      <c r="F1007" s="29"/>
      <c r="G1007" s="29"/>
      <c r="H1007" s="29"/>
      <c r="I1007" s="29"/>
      <c r="J1007" s="29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  <c r="Z1007" s="29"/>
      <c r="AA1007" s="29"/>
      <c r="AB1007" s="29"/>
      <c r="AC1007" s="29"/>
      <c r="AD1007" s="29"/>
      <c r="AE1007" s="29"/>
      <c r="AF1007" s="29"/>
      <c r="AG1007" s="29"/>
      <c r="AH1007" s="29"/>
    </row>
    <row r="1008" spans="1:34">
      <c r="A1008" s="29"/>
      <c r="B1008" s="29"/>
      <c r="C1008" s="29"/>
      <c r="D1008" s="29"/>
      <c r="E1008" s="29"/>
      <c r="F1008" s="29"/>
      <c r="G1008" s="29"/>
      <c r="H1008" s="29"/>
      <c r="I1008" s="29"/>
      <c r="J1008" s="29"/>
      <c r="K1008" s="29"/>
      <c r="L1008" s="29"/>
      <c r="M1008" s="29"/>
      <c r="N1008" s="29"/>
      <c r="O1008" s="29"/>
      <c r="P1008" s="29"/>
      <c r="Q1008" s="29"/>
      <c r="R1008" s="29"/>
      <c r="S1008" s="29"/>
      <c r="T1008" s="29"/>
      <c r="U1008" s="29"/>
      <c r="V1008" s="29"/>
      <c r="W1008" s="29"/>
      <c r="X1008" s="29"/>
      <c r="Y1008" s="29"/>
      <c r="Z1008" s="29"/>
      <c r="AA1008" s="29"/>
      <c r="AB1008" s="29"/>
      <c r="AC1008" s="29"/>
      <c r="AD1008" s="29"/>
      <c r="AE1008" s="29"/>
      <c r="AF1008" s="29"/>
      <c r="AG1008" s="29"/>
      <c r="AH1008" s="29"/>
    </row>
    <row r="1009" spans="1:34">
      <c r="A1009" s="29"/>
      <c r="B1009" s="29"/>
      <c r="C1009" s="29"/>
      <c r="D1009" s="29"/>
      <c r="E1009" s="29"/>
      <c r="F1009" s="29"/>
      <c r="G1009" s="29"/>
      <c r="H1009" s="29"/>
      <c r="I1009" s="29"/>
      <c r="J1009" s="29"/>
      <c r="K1009" s="29"/>
      <c r="L1009" s="29"/>
      <c r="M1009" s="29"/>
      <c r="N1009" s="29"/>
      <c r="O1009" s="29"/>
      <c r="P1009" s="29"/>
      <c r="Q1009" s="29"/>
      <c r="R1009" s="29"/>
      <c r="S1009" s="29"/>
      <c r="T1009" s="29"/>
      <c r="U1009" s="29"/>
      <c r="V1009" s="29"/>
      <c r="W1009" s="29"/>
      <c r="X1009" s="29"/>
      <c r="Y1009" s="29"/>
      <c r="Z1009" s="29"/>
      <c r="AA1009" s="29"/>
      <c r="AB1009" s="29"/>
      <c r="AC1009" s="29"/>
      <c r="AD1009" s="29"/>
      <c r="AE1009" s="29"/>
      <c r="AF1009" s="29"/>
      <c r="AG1009" s="29"/>
      <c r="AH1009" s="29"/>
    </row>
    <row r="1010" spans="1:34">
      <c r="A1010" s="29"/>
      <c r="B1010" s="29"/>
      <c r="C1010" s="29"/>
      <c r="D1010" s="29"/>
      <c r="E1010" s="29"/>
      <c r="F1010" s="29"/>
      <c r="G1010" s="29"/>
      <c r="H1010" s="29"/>
      <c r="I1010" s="29"/>
      <c r="J1010" s="29"/>
      <c r="K1010" s="29"/>
      <c r="L1010" s="29"/>
      <c r="M1010" s="29"/>
      <c r="N1010" s="29"/>
      <c r="O1010" s="29"/>
      <c r="P1010" s="29"/>
      <c r="Q1010" s="29"/>
      <c r="R1010" s="29"/>
      <c r="S1010" s="29"/>
      <c r="T1010" s="29"/>
      <c r="U1010" s="29"/>
      <c r="V1010" s="29"/>
      <c r="W1010" s="29"/>
      <c r="X1010" s="29"/>
      <c r="Y1010" s="29"/>
      <c r="Z1010" s="29"/>
      <c r="AA1010" s="29"/>
      <c r="AB1010" s="29"/>
      <c r="AC1010" s="29"/>
      <c r="AD1010" s="29"/>
      <c r="AE1010" s="29"/>
      <c r="AF1010" s="29"/>
      <c r="AG1010" s="29"/>
      <c r="AH1010" s="29"/>
    </row>
    <row r="1011" spans="1:34">
      <c r="A1011" s="29"/>
      <c r="B1011" s="29"/>
      <c r="C1011" s="29"/>
      <c r="D1011" s="29"/>
      <c r="E1011" s="29"/>
      <c r="F1011" s="29"/>
      <c r="G1011" s="29"/>
      <c r="H1011" s="29"/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/>
      <c r="U1011" s="29"/>
      <c r="V1011" s="29"/>
      <c r="W1011" s="29"/>
      <c r="X1011" s="29"/>
      <c r="Y1011" s="29"/>
      <c r="Z1011" s="29"/>
      <c r="AA1011" s="29"/>
      <c r="AB1011" s="29"/>
      <c r="AC1011" s="29"/>
      <c r="AD1011" s="29"/>
      <c r="AE1011" s="29"/>
      <c r="AF1011" s="29"/>
      <c r="AG1011" s="29"/>
      <c r="AH1011" s="29"/>
    </row>
    <row r="1012" spans="1:34">
      <c r="A1012" s="29"/>
      <c r="B1012" s="29"/>
      <c r="C1012" s="29"/>
      <c r="D1012" s="29"/>
      <c r="E1012" s="29"/>
      <c r="F1012" s="29"/>
      <c r="G1012" s="29"/>
      <c r="H1012" s="29"/>
      <c r="I1012" s="29"/>
      <c r="J1012" s="29"/>
      <c r="K1012" s="29"/>
      <c r="L1012" s="29"/>
      <c r="M1012" s="29"/>
      <c r="N1012" s="29"/>
      <c r="O1012" s="29"/>
      <c r="P1012" s="29"/>
      <c r="Q1012" s="29"/>
      <c r="R1012" s="29"/>
      <c r="S1012" s="29"/>
      <c r="T1012" s="29"/>
      <c r="U1012" s="29"/>
      <c r="V1012" s="29"/>
      <c r="W1012" s="29"/>
      <c r="X1012" s="29"/>
      <c r="Y1012" s="29"/>
      <c r="Z1012" s="29"/>
      <c r="AA1012" s="29"/>
      <c r="AB1012" s="29"/>
      <c r="AC1012" s="29"/>
      <c r="AD1012" s="29"/>
      <c r="AE1012" s="29"/>
      <c r="AF1012" s="29"/>
      <c r="AG1012" s="29"/>
      <c r="AH1012" s="29"/>
    </row>
  </sheetData>
  <mergeCells count="1">
    <mergeCell ref="E1:K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33"/>
  <sheetViews>
    <sheetView workbookViewId="0"/>
  </sheetViews>
  <sheetFormatPr defaultColWidth="14.453125" defaultRowHeight="15" customHeight="1"/>
  <sheetData>
    <row r="1" spans="1:26">
      <c r="A1" s="36" t="s">
        <v>660</v>
      </c>
      <c r="D1" s="36" t="s">
        <v>661</v>
      </c>
      <c r="G1" s="36" t="s">
        <v>662</v>
      </c>
      <c r="J1" s="36" t="s">
        <v>663</v>
      </c>
      <c r="M1" s="36" t="s">
        <v>664</v>
      </c>
      <c r="P1" s="36" t="s">
        <v>665</v>
      </c>
      <c r="S1" s="36" t="s">
        <v>666</v>
      </c>
      <c r="V1" s="36" t="s">
        <v>667</v>
      </c>
      <c r="Y1" s="36" t="s">
        <v>668</v>
      </c>
    </row>
    <row r="2" spans="1:26">
      <c r="A2" s="36" t="s">
        <v>669</v>
      </c>
      <c r="B2" s="36" t="s">
        <v>670</v>
      </c>
      <c r="D2" s="36" t="s">
        <v>669</v>
      </c>
      <c r="E2" s="36" t="s">
        <v>671</v>
      </c>
      <c r="G2" s="36" t="s">
        <v>669</v>
      </c>
      <c r="H2" s="36" t="s">
        <v>671</v>
      </c>
      <c r="J2" s="36" t="s">
        <v>669</v>
      </c>
      <c r="K2" s="36" t="s">
        <v>671</v>
      </c>
      <c r="M2" s="36" t="s">
        <v>669</v>
      </c>
      <c r="N2" s="36" t="s">
        <v>671</v>
      </c>
      <c r="P2" s="36" t="s">
        <v>669</v>
      </c>
      <c r="Q2" s="36" t="s">
        <v>670</v>
      </c>
      <c r="S2" s="36" t="s">
        <v>669</v>
      </c>
      <c r="T2" s="36" t="s">
        <v>671</v>
      </c>
      <c r="V2" s="36" t="s">
        <v>669</v>
      </c>
      <c r="W2" s="36" t="s">
        <v>670</v>
      </c>
      <c r="Y2" s="36" t="s">
        <v>669</v>
      </c>
      <c r="Z2" s="36" t="s">
        <v>670</v>
      </c>
    </row>
    <row r="3" spans="1:26">
      <c r="A3" s="36">
        <v>1</v>
      </c>
      <c r="B3" s="36">
        <v>3</v>
      </c>
      <c r="D3" s="42">
        <v>4</v>
      </c>
      <c r="E3" s="42">
        <v>6</v>
      </c>
      <c r="G3" s="36">
        <v>5</v>
      </c>
      <c r="H3" s="36">
        <v>5</v>
      </c>
      <c r="J3" s="36">
        <v>4</v>
      </c>
      <c r="K3" s="36">
        <v>5</v>
      </c>
      <c r="M3" s="42">
        <v>3</v>
      </c>
      <c r="N3" s="42">
        <v>4</v>
      </c>
      <c r="P3" s="42">
        <v>2</v>
      </c>
      <c r="Q3" s="42">
        <v>3</v>
      </c>
      <c r="S3" s="36">
        <v>2</v>
      </c>
      <c r="T3" s="36">
        <v>3</v>
      </c>
      <c r="V3" s="36">
        <v>1</v>
      </c>
      <c r="W3" s="36">
        <v>2</v>
      </c>
      <c r="Y3" s="42">
        <v>1</v>
      </c>
      <c r="Z3" s="42">
        <v>1</v>
      </c>
    </row>
    <row r="4" spans="1:26">
      <c r="A4" s="36">
        <v>2</v>
      </c>
      <c r="B4" s="36">
        <v>3</v>
      </c>
      <c r="D4" s="42">
        <v>2</v>
      </c>
      <c r="E4" s="42">
        <v>2</v>
      </c>
      <c r="G4" s="36">
        <v>1</v>
      </c>
      <c r="H4" s="36">
        <v>1</v>
      </c>
      <c r="J4" s="36">
        <v>2</v>
      </c>
      <c r="K4" s="36">
        <v>2</v>
      </c>
      <c r="M4" s="42">
        <v>2</v>
      </c>
      <c r="N4" s="42">
        <v>3</v>
      </c>
      <c r="P4" s="42">
        <v>1</v>
      </c>
      <c r="Q4" s="42">
        <v>2</v>
      </c>
      <c r="S4" s="36">
        <v>3</v>
      </c>
      <c r="T4" s="36">
        <v>4</v>
      </c>
      <c r="V4" s="36">
        <v>1</v>
      </c>
      <c r="W4" s="36">
        <v>2</v>
      </c>
      <c r="Y4" s="42">
        <v>0</v>
      </c>
      <c r="Z4" s="42">
        <v>2</v>
      </c>
    </row>
    <row r="5" spans="1:26">
      <c r="A5" s="36">
        <v>1</v>
      </c>
      <c r="B5" s="36">
        <v>1</v>
      </c>
      <c r="D5" s="42">
        <v>1</v>
      </c>
      <c r="E5" s="42">
        <v>2</v>
      </c>
      <c r="G5" s="36">
        <v>0</v>
      </c>
      <c r="H5" s="36">
        <v>0</v>
      </c>
      <c r="J5" s="36">
        <v>1</v>
      </c>
      <c r="K5" s="36">
        <v>1</v>
      </c>
      <c r="M5" s="36">
        <v>0</v>
      </c>
      <c r="N5" s="36">
        <v>0</v>
      </c>
      <c r="P5" s="42">
        <v>2</v>
      </c>
      <c r="Q5" s="42">
        <v>3</v>
      </c>
      <c r="S5" s="36">
        <v>1</v>
      </c>
      <c r="T5" s="36">
        <v>3</v>
      </c>
      <c r="V5" s="36">
        <v>2</v>
      </c>
      <c r="W5" s="36">
        <v>3</v>
      </c>
      <c r="Y5" s="36">
        <v>1</v>
      </c>
      <c r="Z5" s="36">
        <v>3</v>
      </c>
    </row>
    <row r="6" spans="1:26">
      <c r="A6" s="36">
        <v>5</v>
      </c>
      <c r="B6" s="36">
        <v>8</v>
      </c>
      <c r="D6" s="42">
        <v>4</v>
      </c>
      <c r="E6" s="42">
        <v>5</v>
      </c>
      <c r="G6" s="36">
        <v>4</v>
      </c>
      <c r="H6" s="36">
        <v>5</v>
      </c>
      <c r="J6" s="36">
        <v>1</v>
      </c>
      <c r="K6" s="36">
        <v>1</v>
      </c>
      <c r="M6" s="42">
        <v>3</v>
      </c>
      <c r="N6" s="42">
        <v>4</v>
      </c>
      <c r="P6" s="42">
        <v>1</v>
      </c>
      <c r="Q6" s="42">
        <v>2</v>
      </c>
      <c r="S6" s="36">
        <v>3</v>
      </c>
      <c r="T6" s="36">
        <v>4</v>
      </c>
      <c r="V6" s="36">
        <v>2</v>
      </c>
      <c r="W6" s="36">
        <v>2</v>
      </c>
      <c r="Y6" s="36">
        <v>0</v>
      </c>
      <c r="Z6" s="36">
        <v>0</v>
      </c>
    </row>
    <row r="7" spans="1:26">
      <c r="A7" s="36">
        <v>0</v>
      </c>
      <c r="B7" s="36">
        <v>2</v>
      </c>
      <c r="D7" s="42">
        <v>1</v>
      </c>
      <c r="E7" s="42">
        <v>3</v>
      </c>
      <c r="G7" s="36">
        <v>1</v>
      </c>
      <c r="H7" s="36">
        <v>1</v>
      </c>
      <c r="J7" s="36">
        <v>4</v>
      </c>
      <c r="K7" s="36">
        <v>6</v>
      </c>
      <c r="M7" s="42">
        <v>1</v>
      </c>
      <c r="N7" s="42">
        <v>2</v>
      </c>
      <c r="P7" s="42">
        <v>0</v>
      </c>
      <c r="Q7" s="42">
        <v>1</v>
      </c>
      <c r="S7" s="36">
        <v>2</v>
      </c>
      <c r="T7" s="36">
        <v>3</v>
      </c>
      <c r="V7" s="36">
        <v>5</v>
      </c>
      <c r="W7" s="36">
        <v>6</v>
      </c>
      <c r="Y7" s="36">
        <v>2</v>
      </c>
      <c r="Z7" s="36">
        <v>2</v>
      </c>
    </row>
    <row r="8" spans="1:26">
      <c r="A8" s="36">
        <v>5</v>
      </c>
      <c r="B8" s="36">
        <v>5</v>
      </c>
      <c r="D8" s="42">
        <v>0</v>
      </c>
      <c r="E8" s="42">
        <v>0</v>
      </c>
      <c r="G8" s="36">
        <v>4</v>
      </c>
      <c r="H8" s="36">
        <v>6</v>
      </c>
      <c r="J8" s="36">
        <v>1</v>
      </c>
      <c r="K8" s="36">
        <v>2</v>
      </c>
      <c r="M8" s="42">
        <v>3</v>
      </c>
      <c r="N8" s="42">
        <v>5</v>
      </c>
      <c r="P8" s="36">
        <v>1</v>
      </c>
      <c r="Q8" s="36">
        <v>1</v>
      </c>
      <c r="S8" s="36">
        <v>3</v>
      </c>
      <c r="T8" s="36">
        <v>5</v>
      </c>
      <c r="V8" s="36">
        <v>1</v>
      </c>
      <c r="W8" s="36">
        <v>1</v>
      </c>
      <c r="Y8" s="36">
        <v>3</v>
      </c>
      <c r="Z8" s="36">
        <v>3</v>
      </c>
    </row>
    <row r="9" spans="1:26">
      <c r="A9" s="36">
        <v>1</v>
      </c>
      <c r="B9" s="36">
        <v>1</v>
      </c>
      <c r="D9" s="36">
        <v>3</v>
      </c>
      <c r="E9" s="36">
        <v>4</v>
      </c>
      <c r="G9" s="36">
        <v>3</v>
      </c>
      <c r="H9" s="36">
        <v>3</v>
      </c>
      <c r="J9" s="36">
        <v>4</v>
      </c>
      <c r="K9" s="36">
        <v>5</v>
      </c>
      <c r="M9" s="42">
        <v>0</v>
      </c>
      <c r="N9" s="42">
        <v>0</v>
      </c>
      <c r="P9" s="36">
        <v>3</v>
      </c>
      <c r="Q9" s="36">
        <v>4</v>
      </c>
      <c r="S9" s="36">
        <v>3</v>
      </c>
      <c r="T9" s="36">
        <v>3</v>
      </c>
      <c r="V9" s="36">
        <v>1</v>
      </c>
      <c r="W9" s="36">
        <v>1</v>
      </c>
      <c r="Y9" s="36">
        <v>1</v>
      </c>
      <c r="Z9" s="36">
        <v>2</v>
      </c>
    </row>
    <row r="10" spans="1:26">
      <c r="A10" s="36">
        <v>2</v>
      </c>
      <c r="B10" s="36">
        <v>3</v>
      </c>
      <c r="D10" s="36">
        <v>1</v>
      </c>
      <c r="E10" s="36">
        <v>1</v>
      </c>
      <c r="G10" s="36">
        <v>0</v>
      </c>
      <c r="H10" s="36">
        <v>0</v>
      </c>
      <c r="J10" s="36">
        <v>11</v>
      </c>
      <c r="K10" s="36">
        <v>11</v>
      </c>
      <c r="M10" s="36">
        <v>3</v>
      </c>
      <c r="N10" s="36">
        <v>5</v>
      </c>
      <c r="P10" s="36">
        <v>4</v>
      </c>
      <c r="Q10" s="36">
        <v>4</v>
      </c>
      <c r="S10" s="36">
        <v>7</v>
      </c>
      <c r="T10" s="36">
        <v>8</v>
      </c>
      <c r="V10" s="36">
        <v>2</v>
      </c>
      <c r="W10" s="36">
        <v>4</v>
      </c>
      <c r="Y10" s="36">
        <v>3</v>
      </c>
      <c r="Z10" s="36">
        <v>4</v>
      </c>
    </row>
    <row r="11" spans="1:26">
      <c r="A11" s="36">
        <v>8</v>
      </c>
      <c r="B11" s="36">
        <v>9</v>
      </c>
      <c r="D11" s="36">
        <v>6</v>
      </c>
      <c r="E11" s="36">
        <v>8</v>
      </c>
      <c r="G11" s="36">
        <v>5</v>
      </c>
      <c r="H11" s="36">
        <v>6</v>
      </c>
      <c r="J11" s="36">
        <v>5</v>
      </c>
      <c r="K11" s="36">
        <v>6</v>
      </c>
      <c r="M11" s="36">
        <v>1</v>
      </c>
      <c r="N11" s="36">
        <v>1</v>
      </c>
      <c r="P11" s="36">
        <v>3</v>
      </c>
      <c r="Q11" s="36">
        <v>3</v>
      </c>
      <c r="S11" s="36">
        <v>3</v>
      </c>
      <c r="T11" s="36">
        <v>3</v>
      </c>
      <c r="V11" s="36">
        <v>3</v>
      </c>
      <c r="W11" s="36">
        <v>3</v>
      </c>
      <c r="Y11" s="36">
        <v>5</v>
      </c>
      <c r="Z11" s="36">
        <v>6</v>
      </c>
    </row>
    <row r="12" spans="1:26">
      <c r="A12" s="36">
        <v>0</v>
      </c>
      <c r="B12" s="36">
        <v>1</v>
      </c>
      <c r="D12" s="36">
        <v>3</v>
      </c>
      <c r="E12" s="36">
        <v>5</v>
      </c>
      <c r="G12" s="36">
        <v>2</v>
      </c>
      <c r="H12" s="36">
        <v>5</v>
      </c>
      <c r="J12" s="36">
        <v>2</v>
      </c>
      <c r="K12" s="36">
        <v>3</v>
      </c>
      <c r="M12" s="36">
        <v>1</v>
      </c>
      <c r="N12" s="36">
        <v>1</v>
      </c>
      <c r="P12" s="36">
        <v>3</v>
      </c>
      <c r="Q12" s="36">
        <v>4</v>
      </c>
      <c r="S12" s="36">
        <v>4</v>
      </c>
      <c r="T12" s="36">
        <v>5</v>
      </c>
      <c r="V12" s="36">
        <v>4</v>
      </c>
      <c r="W12" s="36">
        <v>5</v>
      </c>
      <c r="Y12" s="36">
        <v>3</v>
      </c>
      <c r="Z12" s="36">
        <v>4</v>
      </c>
    </row>
    <row r="13" spans="1:26">
      <c r="A13" s="36">
        <v>1</v>
      </c>
      <c r="B13" s="36">
        <v>1</v>
      </c>
      <c r="D13" s="36">
        <v>1</v>
      </c>
      <c r="E13" s="36">
        <v>3</v>
      </c>
      <c r="G13" s="36">
        <v>1</v>
      </c>
      <c r="H13" s="36">
        <v>2</v>
      </c>
      <c r="J13" s="36">
        <v>6</v>
      </c>
      <c r="K13" s="36">
        <v>6</v>
      </c>
      <c r="M13" s="36">
        <v>5</v>
      </c>
      <c r="N13" s="36">
        <v>7</v>
      </c>
      <c r="P13" s="36">
        <v>4</v>
      </c>
      <c r="Q13" s="36">
        <v>4</v>
      </c>
      <c r="S13" s="36">
        <v>3</v>
      </c>
      <c r="T13" s="36">
        <v>3</v>
      </c>
      <c r="V13" s="36">
        <v>2</v>
      </c>
      <c r="W13" s="36">
        <v>3</v>
      </c>
      <c r="Y13" s="36">
        <v>3</v>
      </c>
      <c r="Z13" s="36">
        <v>4</v>
      </c>
    </row>
    <row r="14" spans="1:26">
      <c r="A14" s="36">
        <v>3</v>
      </c>
      <c r="B14" s="36">
        <v>4</v>
      </c>
      <c r="D14" s="36">
        <v>1</v>
      </c>
      <c r="E14" s="36">
        <v>5</v>
      </c>
      <c r="G14" s="36">
        <v>6</v>
      </c>
      <c r="H14" s="36">
        <v>8</v>
      </c>
      <c r="J14" s="42">
        <v>1</v>
      </c>
      <c r="K14" s="42">
        <v>1</v>
      </c>
      <c r="M14" s="36">
        <v>2</v>
      </c>
      <c r="N14" s="36">
        <v>2</v>
      </c>
      <c r="P14" s="36">
        <v>6</v>
      </c>
      <c r="Q14" s="36">
        <v>7</v>
      </c>
      <c r="S14" s="36">
        <v>1</v>
      </c>
      <c r="T14" s="36">
        <v>3</v>
      </c>
      <c r="V14" s="36">
        <v>0</v>
      </c>
      <c r="W14" s="36">
        <v>0</v>
      </c>
      <c r="Y14" s="36">
        <v>3</v>
      </c>
      <c r="Z14" s="36">
        <v>3</v>
      </c>
    </row>
    <row r="15" spans="1:26">
      <c r="A15" s="36">
        <v>0</v>
      </c>
      <c r="B15" s="36">
        <v>0</v>
      </c>
      <c r="D15" s="36">
        <v>1</v>
      </c>
      <c r="E15" s="36">
        <v>1</v>
      </c>
      <c r="G15" s="36">
        <v>3</v>
      </c>
      <c r="H15" s="36">
        <v>5</v>
      </c>
      <c r="J15" s="36">
        <v>2</v>
      </c>
      <c r="K15" s="36">
        <v>2</v>
      </c>
      <c r="M15" s="36">
        <v>1</v>
      </c>
      <c r="N15" s="36">
        <v>2</v>
      </c>
      <c r="P15" s="36">
        <v>2</v>
      </c>
      <c r="Q15" s="36">
        <v>2</v>
      </c>
      <c r="S15" s="36">
        <v>7</v>
      </c>
      <c r="T15" s="36">
        <v>7</v>
      </c>
      <c r="V15" s="36">
        <v>0</v>
      </c>
      <c r="W15" s="36">
        <v>1</v>
      </c>
      <c r="Y15" s="36">
        <v>1</v>
      </c>
      <c r="Z15" s="36">
        <v>3</v>
      </c>
    </row>
    <row r="16" spans="1:26">
      <c r="A16" s="36">
        <v>4</v>
      </c>
      <c r="B16" s="36">
        <v>5</v>
      </c>
      <c r="D16" s="36">
        <v>0</v>
      </c>
      <c r="E16" s="36">
        <v>0</v>
      </c>
      <c r="G16" s="36">
        <v>3</v>
      </c>
      <c r="H16" s="36">
        <v>5</v>
      </c>
      <c r="J16" s="36">
        <v>1</v>
      </c>
      <c r="K16" s="36">
        <v>1</v>
      </c>
      <c r="M16" s="36">
        <v>2</v>
      </c>
      <c r="N16" s="36">
        <v>3</v>
      </c>
      <c r="P16" s="36">
        <v>2</v>
      </c>
      <c r="Q16" s="36">
        <v>2</v>
      </c>
      <c r="S16" s="36">
        <v>1</v>
      </c>
      <c r="T16" s="36">
        <v>1</v>
      </c>
      <c r="V16" s="36">
        <v>4</v>
      </c>
      <c r="W16" s="36">
        <v>5</v>
      </c>
      <c r="Y16" s="36">
        <v>1</v>
      </c>
      <c r="Z16" s="36">
        <v>1</v>
      </c>
    </row>
    <row r="17" spans="1:26">
      <c r="A17" s="36">
        <v>8</v>
      </c>
      <c r="B17" s="36">
        <v>11</v>
      </c>
      <c r="D17" s="36">
        <v>4</v>
      </c>
      <c r="E17" s="36">
        <v>4</v>
      </c>
      <c r="G17" s="36">
        <v>0</v>
      </c>
      <c r="H17" s="36">
        <v>0</v>
      </c>
      <c r="J17" s="36">
        <v>5</v>
      </c>
      <c r="K17" s="36">
        <v>6</v>
      </c>
      <c r="M17" s="36">
        <v>1</v>
      </c>
      <c r="N17" s="36">
        <v>1</v>
      </c>
      <c r="P17" s="36">
        <v>1</v>
      </c>
      <c r="Q17" s="36">
        <v>2</v>
      </c>
      <c r="S17" s="36">
        <v>5</v>
      </c>
      <c r="T17" s="36">
        <v>8</v>
      </c>
      <c r="V17" s="36">
        <v>1</v>
      </c>
      <c r="W17" s="36">
        <v>2</v>
      </c>
      <c r="Y17" s="36">
        <v>1</v>
      </c>
      <c r="Z17" s="36">
        <v>2</v>
      </c>
    </row>
    <row r="18" spans="1:26">
      <c r="A18" s="36">
        <v>2</v>
      </c>
      <c r="B18" s="36">
        <v>3</v>
      </c>
      <c r="D18" s="36">
        <v>3</v>
      </c>
      <c r="E18" s="36">
        <v>5</v>
      </c>
      <c r="G18" s="36">
        <v>4</v>
      </c>
      <c r="H18" s="36">
        <v>5</v>
      </c>
      <c r="J18" s="36">
        <v>0</v>
      </c>
      <c r="K18" s="36">
        <v>0</v>
      </c>
      <c r="M18" s="36">
        <v>1</v>
      </c>
      <c r="N18" s="36">
        <v>4</v>
      </c>
      <c r="P18" s="36">
        <v>2</v>
      </c>
      <c r="Q18" s="36">
        <v>3</v>
      </c>
      <c r="S18" s="42">
        <v>5</v>
      </c>
      <c r="T18" s="42">
        <v>6</v>
      </c>
      <c r="V18" s="36">
        <v>0</v>
      </c>
      <c r="W18" s="36">
        <v>0</v>
      </c>
      <c r="Y18" s="36">
        <v>5</v>
      </c>
      <c r="Z18" s="36">
        <v>6</v>
      </c>
    </row>
    <row r="19" spans="1:26">
      <c r="A19" s="36">
        <v>1</v>
      </c>
      <c r="B19" s="36">
        <v>2</v>
      </c>
      <c r="D19" s="36">
        <v>1</v>
      </c>
      <c r="E19" s="36">
        <v>2</v>
      </c>
      <c r="G19" s="36">
        <v>0</v>
      </c>
      <c r="H19" s="36">
        <v>1</v>
      </c>
      <c r="J19" s="36">
        <v>1</v>
      </c>
      <c r="K19" s="36">
        <v>5</v>
      </c>
      <c r="M19" s="36">
        <v>2</v>
      </c>
      <c r="N19" s="36">
        <v>3</v>
      </c>
      <c r="P19" s="36">
        <v>6</v>
      </c>
      <c r="Q19" s="36">
        <v>6</v>
      </c>
      <c r="S19" s="36">
        <v>5</v>
      </c>
      <c r="T19" s="36">
        <v>7</v>
      </c>
      <c r="V19" s="36">
        <v>3</v>
      </c>
      <c r="W19" s="36">
        <v>4</v>
      </c>
      <c r="Y19" s="36">
        <v>4</v>
      </c>
      <c r="Z19" s="36">
        <v>4</v>
      </c>
    </row>
    <row r="20" spans="1:26">
      <c r="A20" s="36">
        <v>1</v>
      </c>
      <c r="B20" s="36">
        <v>1</v>
      </c>
      <c r="D20" s="36">
        <v>2</v>
      </c>
      <c r="E20" s="36">
        <v>2</v>
      </c>
      <c r="G20" s="36">
        <v>2</v>
      </c>
      <c r="H20" s="36">
        <v>3</v>
      </c>
      <c r="J20" s="36">
        <v>3</v>
      </c>
      <c r="K20" s="36">
        <v>3</v>
      </c>
      <c r="M20" s="36">
        <v>4</v>
      </c>
      <c r="N20" s="36">
        <v>5</v>
      </c>
      <c r="P20" s="36">
        <v>7</v>
      </c>
      <c r="Q20" s="36">
        <v>8</v>
      </c>
      <c r="S20" s="36">
        <v>9</v>
      </c>
      <c r="T20" s="36">
        <v>9</v>
      </c>
      <c r="V20" s="36">
        <v>4</v>
      </c>
      <c r="W20" s="36">
        <v>5</v>
      </c>
      <c r="Y20" s="36">
        <v>1</v>
      </c>
      <c r="Z20" s="36">
        <v>4</v>
      </c>
    </row>
    <row r="21" spans="1:26">
      <c r="A21" s="36">
        <v>2</v>
      </c>
      <c r="B21" s="36">
        <v>2</v>
      </c>
      <c r="D21" s="36">
        <v>2</v>
      </c>
      <c r="E21" s="36">
        <v>3</v>
      </c>
      <c r="G21" s="36">
        <v>3</v>
      </c>
      <c r="H21" s="36">
        <v>3</v>
      </c>
      <c r="J21" s="36">
        <v>7</v>
      </c>
      <c r="K21" s="36">
        <v>7</v>
      </c>
      <c r="M21" s="36">
        <v>2</v>
      </c>
      <c r="N21" s="36">
        <v>2</v>
      </c>
      <c r="P21" s="36">
        <v>3</v>
      </c>
      <c r="Q21" s="36">
        <v>4</v>
      </c>
      <c r="S21" s="36">
        <v>8</v>
      </c>
      <c r="T21" s="36">
        <v>8</v>
      </c>
      <c r="V21" s="36">
        <v>5</v>
      </c>
      <c r="W21" s="36">
        <v>8</v>
      </c>
    </row>
    <row r="22" spans="1:26">
      <c r="A22" s="36">
        <v>2</v>
      </c>
      <c r="B22" s="36">
        <v>2</v>
      </c>
      <c r="D22" s="36">
        <v>1</v>
      </c>
      <c r="E22" s="36">
        <v>1</v>
      </c>
      <c r="G22" s="36">
        <v>4</v>
      </c>
      <c r="H22" s="36">
        <v>7</v>
      </c>
      <c r="J22" s="36">
        <v>4</v>
      </c>
      <c r="K22" s="36">
        <v>5</v>
      </c>
      <c r="M22" s="36">
        <v>5</v>
      </c>
      <c r="N22" s="36">
        <v>7</v>
      </c>
      <c r="P22" s="36">
        <v>0</v>
      </c>
      <c r="Q22" s="36">
        <v>0</v>
      </c>
      <c r="S22" s="36">
        <v>3</v>
      </c>
      <c r="T22" s="36">
        <v>6</v>
      </c>
      <c r="V22" s="36">
        <v>2</v>
      </c>
      <c r="W22" s="36">
        <v>2</v>
      </c>
      <c r="Y22" s="36" t="s">
        <v>672</v>
      </c>
      <c r="Z22" s="36" t="s">
        <v>672</v>
      </c>
    </row>
    <row r="23" spans="1:26">
      <c r="A23" s="36">
        <v>3</v>
      </c>
      <c r="B23" s="36">
        <v>3</v>
      </c>
      <c r="D23" s="36">
        <v>3</v>
      </c>
      <c r="E23" s="36">
        <v>4</v>
      </c>
      <c r="G23" s="36">
        <v>3</v>
      </c>
      <c r="H23" s="36">
        <v>3</v>
      </c>
      <c r="J23" s="36">
        <v>5</v>
      </c>
      <c r="K23" s="36">
        <v>5</v>
      </c>
      <c r="P23" s="36">
        <v>4</v>
      </c>
      <c r="Q23" s="36">
        <v>6</v>
      </c>
      <c r="V23" s="36">
        <v>3</v>
      </c>
      <c r="W23" s="36">
        <v>4</v>
      </c>
      <c r="Y23" s="36">
        <f t="shared" ref="Y23:Z23" si="0">SUM(Y5:Y20)</f>
        <v>37</v>
      </c>
      <c r="Z23" s="36">
        <f t="shared" si="0"/>
        <v>51</v>
      </c>
    </row>
    <row r="24" spans="1:26">
      <c r="A24" s="36">
        <v>3</v>
      </c>
      <c r="B24" s="36">
        <v>4</v>
      </c>
      <c r="G24" s="36">
        <v>4</v>
      </c>
      <c r="H24" s="36">
        <v>5</v>
      </c>
      <c r="J24" s="36">
        <v>2</v>
      </c>
      <c r="K24" s="36">
        <v>4</v>
      </c>
      <c r="M24" s="36" t="s">
        <v>672</v>
      </c>
      <c r="N24" s="36" t="s">
        <v>672</v>
      </c>
      <c r="P24" s="36">
        <v>5</v>
      </c>
      <c r="Q24" s="36">
        <v>6</v>
      </c>
      <c r="S24" s="36" t="s">
        <v>672</v>
      </c>
      <c r="T24" s="36" t="s">
        <v>672</v>
      </c>
      <c r="V24" s="36">
        <v>5</v>
      </c>
      <c r="W24" s="36">
        <v>7</v>
      </c>
    </row>
    <row r="25" spans="1:26">
      <c r="G25" s="36">
        <v>5</v>
      </c>
      <c r="H25" s="36">
        <v>6</v>
      </c>
      <c r="M25" s="36">
        <f t="shared" ref="M25:N25" si="1">SUM(M10:M22)</f>
        <v>30</v>
      </c>
      <c r="N25" s="36">
        <f t="shared" si="1"/>
        <v>43</v>
      </c>
      <c r="S25" s="36">
        <f>SUM(S3:S22)-5</f>
        <v>73</v>
      </c>
      <c r="T25" s="36">
        <f>SUM(T3:T22)-6</f>
        <v>93</v>
      </c>
      <c r="V25" s="36">
        <v>4</v>
      </c>
      <c r="W25" s="36">
        <v>4</v>
      </c>
      <c r="Y25" s="36" t="s">
        <v>36</v>
      </c>
      <c r="Z25" s="36">
        <f>Y23/Z23</f>
        <v>0.72549019607843135</v>
      </c>
    </row>
    <row r="26" spans="1:26">
      <c r="A26" s="36" t="s">
        <v>673</v>
      </c>
      <c r="B26" s="36" t="s">
        <v>674</v>
      </c>
      <c r="D26" s="36" t="s">
        <v>672</v>
      </c>
      <c r="E26" s="36" t="s">
        <v>672</v>
      </c>
      <c r="G26" s="36">
        <v>4</v>
      </c>
      <c r="H26" s="36">
        <v>5</v>
      </c>
      <c r="J26" s="36" t="s">
        <v>672</v>
      </c>
      <c r="K26" s="36" t="s">
        <v>672</v>
      </c>
      <c r="P26" s="36" t="s">
        <v>672</v>
      </c>
      <c r="Q26" s="36" t="s">
        <v>672</v>
      </c>
      <c r="V26" s="36">
        <v>2</v>
      </c>
      <c r="W26" s="36">
        <v>3</v>
      </c>
    </row>
    <row r="27" spans="1:26">
      <c r="A27" s="36">
        <f t="shared" ref="A27:B27" si="2">AVERAGE(A3:A24)</f>
        <v>2.5</v>
      </c>
      <c r="B27" s="36">
        <f t="shared" si="2"/>
        <v>3.3636363636363638</v>
      </c>
      <c r="D27" s="36">
        <f>SUM(D9:D23)</f>
        <v>32</v>
      </c>
      <c r="E27" s="36">
        <f>SUM(E9:E23)</f>
        <v>48</v>
      </c>
      <c r="J27" s="36">
        <f t="shared" ref="J27:K27" si="3">SUM(J3:J24)-1</f>
        <v>71</v>
      </c>
      <c r="K27" s="36">
        <f t="shared" si="3"/>
        <v>86</v>
      </c>
      <c r="M27" s="36" t="s">
        <v>36</v>
      </c>
      <c r="N27" s="36">
        <f>M25/N25</f>
        <v>0.69767441860465118</v>
      </c>
      <c r="P27" s="36">
        <f t="shared" ref="P27:Q27" si="4">SUM(P8:P24)</f>
        <v>56</v>
      </c>
      <c r="Q27" s="36">
        <f t="shared" si="4"/>
        <v>66</v>
      </c>
      <c r="S27" s="36" t="s">
        <v>36</v>
      </c>
      <c r="T27" s="36">
        <f>S25/T25</f>
        <v>0.78494623655913975</v>
      </c>
    </row>
    <row r="28" spans="1:26">
      <c r="G28" s="36" t="s">
        <v>675</v>
      </c>
      <c r="H28" s="36" t="s">
        <v>672</v>
      </c>
      <c r="V28" s="36" t="s">
        <v>672</v>
      </c>
      <c r="W28" s="36" t="s">
        <v>672</v>
      </c>
    </row>
    <row r="29" spans="1:26">
      <c r="A29" s="36" t="s">
        <v>672</v>
      </c>
      <c r="B29" s="36" t="s">
        <v>672</v>
      </c>
      <c r="D29" s="36" t="s">
        <v>36</v>
      </c>
      <c r="E29" s="36">
        <f>D27/E27</f>
        <v>0.66666666666666663</v>
      </c>
      <c r="G29" s="36">
        <f t="shared" ref="G29:H29" si="5">SUM(G3:G26)</f>
        <v>67</v>
      </c>
      <c r="H29" s="36">
        <f t="shared" si="5"/>
        <v>90</v>
      </c>
      <c r="J29" s="36" t="s">
        <v>36</v>
      </c>
      <c r="K29" s="36">
        <f>J27/K27</f>
        <v>0.82558139534883723</v>
      </c>
      <c r="P29" s="36" t="s">
        <v>36</v>
      </c>
      <c r="Q29" s="36">
        <f>P27/Q27</f>
        <v>0.84848484848484851</v>
      </c>
      <c r="V29" s="36">
        <f t="shared" ref="V29:W29" si="6">SUM(V3:V26)</f>
        <v>57</v>
      </c>
      <c r="W29" s="36">
        <f t="shared" si="6"/>
        <v>77</v>
      </c>
    </row>
    <row r="30" spans="1:26">
      <c r="A30" s="36">
        <f t="shared" ref="A30:B30" si="7">SUM(A3:A24)</f>
        <v>55</v>
      </c>
      <c r="B30" s="36">
        <f t="shared" si="7"/>
        <v>74</v>
      </c>
    </row>
    <row r="31" spans="1:26">
      <c r="G31" s="36" t="s">
        <v>36</v>
      </c>
      <c r="H31" s="36">
        <f>G29/H29</f>
        <v>0.74444444444444446</v>
      </c>
      <c r="V31" s="36" t="s">
        <v>36</v>
      </c>
      <c r="W31" s="36">
        <f>V29/W29</f>
        <v>0.74025974025974028</v>
      </c>
    </row>
    <row r="32" spans="1:26">
      <c r="A32" s="36" t="s">
        <v>36</v>
      </c>
      <c r="B32" s="36">
        <f>A27/B27</f>
        <v>0.7432432432432432</v>
      </c>
    </row>
    <row r="33" spans="2:2">
      <c r="B33" s="36">
        <f>A30/B30</f>
        <v>0.7432432432432432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Profiles</vt:lpstr>
      <vt:lpstr>Clemson</vt:lpstr>
      <vt:lpstr>Oregon State</vt:lpstr>
      <vt:lpstr>WVU</vt:lpstr>
      <vt:lpstr>Notre Dame</vt:lpstr>
      <vt:lpstr>Stanford</vt:lpstr>
      <vt:lpstr>UNC</vt:lpstr>
      <vt:lpstr>LMU</vt:lpstr>
      <vt:lpstr>Indiana</vt:lpstr>
      <vt:lpstr>UNCC</vt:lpstr>
      <vt:lpstr>Save %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Jameson Ellis</dc:creator>
  <cp:lastModifiedBy>Jamie Ellis</cp:lastModifiedBy>
  <dcterms:created xsi:type="dcterms:W3CDTF">2024-03-19T00:40:41Z</dcterms:created>
  <dcterms:modified xsi:type="dcterms:W3CDTF">2024-04-27T02:33:22Z</dcterms:modified>
</cp:coreProperties>
</file>